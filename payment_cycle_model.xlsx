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oice Ledger" sheetId="2" state="visible" r:id="rId4"/>
    <sheet name="Aging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<sst xmlns="http://schemas.openxmlformats.org/spreadsheetml/2006/main" count="2084" uniqueCount="880">
  <si>
    <t xml:space="preserve">Payment Cycle Dashboard</t>
  </si>
  <si>
    <t xml:space="preserve">All figures calculated live from Invoice Ledger</t>
  </si>
  <si>
    <t xml:space="preserve">Metric</t>
  </si>
  <si>
    <t xml:space="preserve">Value</t>
  </si>
  <si>
    <t xml:space="preserve">Total Invoices</t>
  </si>
  <si>
    <t xml:space="preserve">Total Billed ($)</t>
  </si>
  <si>
    <t xml:space="preserve">Open AR Balance ($)</t>
  </si>
  <si>
    <t xml:space="preserve">Avg Days to Pay</t>
  </si>
  <si>
    <t xml:space="preserve">% Paid On Time</t>
  </si>
  <si>
    <t xml:space="preserve">% Open AR 90+ Days</t>
  </si>
  <si>
    <t xml:space="preserve">Note: DSO target = 45 days. See README for methodology.</t>
  </si>
  <si>
    <t xml:space="preserve">Invoice ID</t>
  </si>
  <si>
    <t xml:space="preserve">Customer</t>
  </si>
  <si>
    <t xml:space="preserve">Issue Date</t>
  </si>
  <si>
    <t xml:space="preserve">Due Date</t>
  </si>
  <si>
    <t xml:space="preserve">Terms (days)</t>
  </si>
  <si>
    <t xml:space="preserve">Amount ($)</t>
  </si>
  <si>
    <t xml:space="preserve">Paid Date</t>
  </si>
  <si>
    <t xml:space="preserve">Status</t>
  </si>
  <si>
    <t xml:space="preserve">Days to Pay</t>
  </si>
  <si>
    <t xml:space="preserve">Days Past Due</t>
  </si>
  <si>
    <t xml:space="preserve">Aging Bucket</t>
  </si>
  <si>
    <t xml:space="preserve">INV-1000</t>
  </si>
  <si>
    <t xml:space="preserve">Customer 001</t>
  </si>
  <si>
    <t xml:space="preserve">2025-09-22</t>
  </si>
  <si>
    <t xml:space="preserve">2025-11-06</t>
  </si>
  <si>
    <t xml:space="preserve">2025-11-20</t>
  </si>
  <si>
    <t xml:space="preserve">INV-1001</t>
  </si>
  <si>
    <t xml:space="preserve">Customer 037</t>
  </si>
  <si>
    <t xml:space="preserve">2026-01-22</t>
  </si>
  <si>
    <t xml:space="preserve">2026-02-21</t>
  </si>
  <si>
    <t xml:space="preserve">2026-02-12</t>
  </si>
  <si>
    <t xml:space="preserve">INV-1002</t>
  </si>
  <si>
    <t xml:space="preserve">Customer 039</t>
  </si>
  <si>
    <t xml:space="preserve">2025-08-22</t>
  </si>
  <si>
    <t xml:space="preserve">2025-09-21</t>
  </si>
  <si>
    <t xml:space="preserve">2025-09-23</t>
  </si>
  <si>
    <t xml:space="preserve">INV-1003</t>
  </si>
  <si>
    <t xml:space="preserve">Customer 023</t>
  </si>
  <si>
    <t xml:space="preserve">2025-10-20</t>
  </si>
  <si>
    <t xml:space="preserve">2025-11-19</t>
  </si>
  <si>
    <t xml:space="preserve">INV-1004</t>
  </si>
  <si>
    <t xml:space="preserve">Customer 029</t>
  </si>
  <si>
    <t xml:space="preserve">2026-05-27</t>
  </si>
  <si>
    <t xml:space="preserve">2026-07-11</t>
  </si>
  <si>
    <t xml:space="preserve">INV-1005</t>
  </si>
  <si>
    <t xml:space="preserve">Customer 048</t>
  </si>
  <si>
    <t xml:space="preserve">2025-07-10</t>
  </si>
  <si>
    <t xml:space="preserve">2025-08-24</t>
  </si>
  <si>
    <t xml:space="preserve">2025-08-15</t>
  </si>
  <si>
    <t xml:space="preserve">INV-1006</t>
  </si>
  <si>
    <t xml:space="preserve">2025-09-26</t>
  </si>
  <si>
    <t xml:space="preserve">2025-10-26</t>
  </si>
  <si>
    <t xml:space="preserve">2025-10-24</t>
  </si>
  <si>
    <t xml:space="preserve">INV-1007</t>
  </si>
  <si>
    <t xml:space="preserve">Customer 004</t>
  </si>
  <si>
    <t xml:space="preserve">2025-09-17</t>
  </si>
  <si>
    <t xml:space="preserve">2025-11-01</t>
  </si>
  <si>
    <t xml:space="preserve">2025-10-12</t>
  </si>
  <si>
    <t xml:space="preserve">INV-1008</t>
  </si>
  <si>
    <t xml:space="preserve">2026-05-15</t>
  </si>
  <si>
    <t xml:space="preserve">2026-06-14</t>
  </si>
  <si>
    <t xml:space="preserve">2026-06-15</t>
  </si>
  <si>
    <t xml:space="preserve">INV-1009</t>
  </si>
  <si>
    <t xml:space="preserve">Customer 016</t>
  </si>
  <si>
    <t xml:space="preserve">2026-01-18</t>
  </si>
  <si>
    <t xml:space="preserve">2026-03-04</t>
  </si>
  <si>
    <t xml:space="preserve">2026-03-09</t>
  </si>
  <si>
    <t xml:space="preserve">INV-1010</t>
  </si>
  <si>
    <t xml:space="preserve">2026-02-16</t>
  </si>
  <si>
    <t xml:space="preserve">2026-04-17</t>
  </si>
  <si>
    <t xml:space="preserve">2026-04-14</t>
  </si>
  <si>
    <t xml:space="preserve">INV-1011</t>
  </si>
  <si>
    <t xml:space="preserve">Customer 014</t>
  </si>
  <si>
    <t xml:space="preserve">2025-07-28</t>
  </si>
  <si>
    <t xml:space="preserve">2025-09-11</t>
  </si>
  <si>
    <t xml:space="preserve">INV-1012</t>
  </si>
  <si>
    <t xml:space="preserve">Customer 009</t>
  </si>
  <si>
    <t xml:space="preserve">2025-11-08</t>
  </si>
  <si>
    <t xml:space="preserve">2025-12-23</t>
  </si>
  <si>
    <t xml:space="preserve">2026-01-03</t>
  </si>
  <si>
    <t xml:space="preserve">INV-1013</t>
  </si>
  <si>
    <t xml:space="preserve">Customer 060</t>
  </si>
  <si>
    <t xml:space="preserve">2025-09-04</t>
  </si>
  <si>
    <t xml:space="preserve">2025-10-19</t>
  </si>
  <si>
    <t xml:space="preserve">2025-10-23</t>
  </si>
  <si>
    <t xml:space="preserve">INV-1014</t>
  </si>
  <si>
    <t xml:space="preserve">Customer 008</t>
  </si>
  <si>
    <t xml:space="preserve">2026-01-20</t>
  </si>
  <si>
    <t xml:space="preserve">2026-02-19</t>
  </si>
  <si>
    <t xml:space="preserve">2026-03-28</t>
  </si>
  <si>
    <t xml:space="preserve">INV-1015</t>
  </si>
  <si>
    <t xml:space="preserve">Customer 043</t>
  </si>
  <si>
    <t xml:space="preserve">2026-04-09</t>
  </si>
  <si>
    <t xml:space="preserve">2026-05-09</t>
  </si>
  <si>
    <t xml:space="preserve">2026-05-05</t>
  </si>
  <si>
    <t xml:space="preserve">INV-1016</t>
  </si>
  <si>
    <t xml:space="preserve">Customer 044</t>
  </si>
  <si>
    <t xml:space="preserve">2025-12-11</t>
  </si>
  <si>
    <t xml:space="preserve">2026-01-10</t>
  </si>
  <si>
    <t xml:space="preserve">2025-12-22</t>
  </si>
  <si>
    <t xml:space="preserve">INV-1017</t>
  </si>
  <si>
    <t xml:space="preserve">Customer 038</t>
  </si>
  <si>
    <t xml:space="preserve">2026-06-07</t>
  </si>
  <si>
    <t xml:space="preserve">2026-07-07</t>
  </si>
  <si>
    <t xml:space="preserve">INV-1018</t>
  </si>
  <si>
    <t xml:space="preserve">Customer 055</t>
  </si>
  <si>
    <t xml:space="preserve">2025-09-02</t>
  </si>
  <si>
    <t xml:space="preserve">2025-10-17</t>
  </si>
  <si>
    <t xml:space="preserve">2025-10-10</t>
  </si>
  <si>
    <t xml:space="preserve">INV-1019</t>
  </si>
  <si>
    <t xml:space="preserve">2025-11-13</t>
  </si>
  <si>
    <t xml:space="preserve">2025-12-28</t>
  </si>
  <si>
    <t xml:space="preserve">INV-1020</t>
  </si>
  <si>
    <t xml:space="preserve">Customer 019</t>
  </si>
  <si>
    <t xml:space="preserve">2025-09-28</t>
  </si>
  <si>
    <t xml:space="preserve">2025-11-12</t>
  </si>
  <si>
    <t xml:space="preserve">2025-11-04</t>
  </si>
  <si>
    <t xml:space="preserve">INV-1021</t>
  </si>
  <si>
    <t xml:space="preserve">Customer 012</t>
  </si>
  <si>
    <t xml:space="preserve">2026-03-23</t>
  </si>
  <si>
    <t xml:space="preserve">2026-03-30</t>
  </si>
  <si>
    <t xml:space="preserve">INV-1022</t>
  </si>
  <si>
    <t xml:space="preserve">Customer 035</t>
  </si>
  <si>
    <t xml:space="preserve">2025-07-12</t>
  </si>
  <si>
    <t xml:space="preserve">2025-08-26</t>
  </si>
  <si>
    <t xml:space="preserve">2025-08-19</t>
  </si>
  <si>
    <t xml:space="preserve">INV-1023</t>
  </si>
  <si>
    <t xml:space="preserve">2025-08-09</t>
  </si>
  <si>
    <t xml:space="preserve">2025-09-08</t>
  </si>
  <si>
    <t xml:space="preserve">2025-09-10</t>
  </si>
  <si>
    <t xml:space="preserve">INV-1024</t>
  </si>
  <si>
    <t xml:space="preserve">Customer 054</t>
  </si>
  <si>
    <t xml:space="preserve">2025-09-20</t>
  </si>
  <si>
    <t xml:space="preserve">2025-12-05</t>
  </si>
  <si>
    <t xml:space="preserve">INV-1025</t>
  </si>
  <si>
    <t xml:space="preserve">2026-04-21</t>
  </si>
  <si>
    <t xml:space="preserve">2026-06-05</t>
  </si>
  <si>
    <t xml:space="preserve">INV-1026</t>
  </si>
  <si>
    <t xml:space="preserve">Customer 015</t>
  </si>
  <si>
    <t xml:space="preserve">2026-01-12</t>
  </si>
  <si>
    <t xml:space="preserve">2026-03-13</t>
  </si>
  <si>
    <t xml:space="preserve">2026-03-06</t>
  </si>
  <si>
    <t xml:space="preserve">INV-1027</t>
  </si>
  <si>
    <t xml:space="preserve">Customer 056</t>
  </si>
  <si>
    <t xml:space="preserve">2026-07-30</t>
  </si>
  <si>
    <t xml:space="preserve">INV-1028</t>
  </si>
  <si>
    <t xml:space="preserve">Customer 041</t>
  </si>
  <si>
    <t xml:space="preserve">2026-06-04</t>
  </si>
  <si>
    <t xml:space="preserve">2026-05-18</t>
  </si>
  <si>
    <t xml:space="preserve">INV-1029</t>
  </si>
  <si>
    <t xml:space="preserve">Customer 046</t>
  </si>
  <si>
    <t xml:space="preserve">2025-10-25</t>
  </si>
  <si>
    <t xml:space="preserve">2025-12-09</t>
  </si>
  <si>
    <t xml:space="preserve">2025-12-02</t>
  </si>
  <si>
    <t xml:space="preserve">INV-1030</t>
  </si>
  <si>
    <t xml:space="preserve">Customer 027</t>
  </si>
  <si>
    <t xml:space="preserve">2025-10-02</t>
  </si>
  <si>
    <t xml:space="preserve">INV-1031</t>
  </si>
  <si>
    <t xml:space="preserve">2025-07-13</t>
  </si>
  <si>
    <t xml:space="preserve">2025-08-27</t>
  </si>
  <si>
    <t xml:space="preserve">2025-08-31</t>
  </si>
  <si>
    <t xml:space="preserve">INV-1032</t>
  </si>
  <si>
    <t xml:space="preserve">Customer 024</t>
  </si>
  <si>
    <t xml:space="preserve">2026-04-18</t>
  </si>
  <si>
    <t xml:space="preserve">2026-04-12</t>
  </si>
  <si>
    <t xml:space="preserve">INV-1033</t>
  </si>
  <si>
    <t xml:space="preserve">Customer 045</t>
  </si>
  <si>
    <t xml:space="preserve">2026-03-18</t>
  </si>
  <si>
    <t xml:space="preserve">2026-04-15</t>
  </si>
  <si>
    <t xml:space="preserve">INV-1034</t>
  </si>
  <si>
    <t xml:space="preserve">Customer 013</t>
  </si>
  <si>
    <t xml:space="preserve">2026-01-11</t>
  </si>
  <si>
    <t xml:space="preserve">2026-02-10</t>
  </si>
  <si>
    <t xml:space="preserve">INV-1035</t>
  </si>
  <si>
    <t xml:space="preserve">Customer 059</t>
  </si>
  <si>
    <t xml:space="preserve">2026-04-23</t>
  </si>
  <si>
    <t xml:space="preserve">2026-05-23</t>
  </si>
  <si>
    <t xml:space="preserve">2026-05-25</t>
  </si>
  <si>
    <t xml:space="preserve">INV-1036</t>
  </si>
  <si>
    <t xml:space="preserve">Customer 011</t>
  </si>
  <si>
    <t xml:space="preserve">2026-05-14</t>
  </si>
  <si>
    <t xml:space="preserve">2026-07-13</t>
  </si>
  <si>
    <t xml:space="preserve">2026-06-29</t>
  </si>
  <si>
    <t xml:space="preserve">INV-1037</t>
  </si>
  <si>
    <t xml:space="preserve">Customer 028</t>
  </si>
  <si>
    <t xml:space="preserve">2026-01-08</t>
  </si>
  <si>
    <t xml:space="preserve">2026-02-07</t>
  </si>
  <si>
    <t xml:space="preserve">2026-02-01</t>
  </si>
  <si>
    <t xml:space="preserve">INV-1038</t>
  </si>
  <si>
    <t xml:space="preserve">2026-05-24</t>
  </si>
  <si>
    <t xml:space="preserve">INV-1039</t>
  </si>
  <si>
    <t xml:space="preserve">2025-10-30</t>
  </si>
  <si>
    <t xml:space="preserve">2025-12-14</t>
  </si>
  <si>
    <t xml:space="preserve">2025-11-16</t>
  </si>
  <si>
    <t xml:space="preserve">INV-1040</t>
  </si>
  <si>
    <t xml:space="preserve">2026-02-23</t>
  </si>
  <si>
    <t xml:space="preserve">INV-1041</t>
  </si>
  <si>
    <t xml:space="preserve">2025-09-30</t>
  </si>
  <si>
    <t xml:space="preserve">2025-10-22</t>
  </si>
  <si>
    <t xml:space="preserve">INV-1042</t>
  </si>
  <si>
    <t xml:space="preserve">2025-12-18</t>
  </si>
  <si>
    <t xml:space="preserve">2025-12-12</t>
  </si>
  <si>
    <t xml:space="preserve">INV-1043</t>
  </si>
  <si>
    <t xml:space="preserve">2026-04-08</t>
  </si>
  <si>
    <t xml:space="preserve">2026-04-11</t>
  </si>
  <si>
    <t xml:space="preserve">INV-1044</t>
  </si>
  <si>
    <t xml:space="preserve">2025-09-01</t>
  </si>
  <si>
    <t xml:space="preserve">2025-10-01</t>
  </si>
  <si>
    <t xml:space="preserve">2025-10-13</t>
  </si>
  <si>
    <t xml:space="preserve">INV-1045</t>
  </si>
  <si>
    <t xml:space="preserve">INV-1046</t>
  </si>
  <si>
    <t xml:space="preserve">Customer 030</t>
  </si>
  <si>
    <t xml:space="preserve">2026-02-09</t>
  </si>
  <si>
    <t xml:space="preserve">2026-03-26</t>
  </si>
  <si>
    <t xml:space="preserve">2026-03-19</t>
  </si>
  <si>
    <t xml:space="preserve">INV-1047</t>
  </si>
  <si>
    <t xml:space="preserve">Customer 006</t>
  </si>
  <si>
    <t xml:space="preserve">2026-05-17</t>
  </si>
  <si>
    <t xml:space="preserve">2026-04-19</t>
  </si>
  <si>
    <t xml:space="preserve">INV-1048</t>
  </si>
  <si>
    <t xml:space="preserve">Customer 050</t>
  </si>
  <si>
    <t xml:space="preserve">2025-11-24</t>
  </si>
  <si>
    <t xml:space="preserve">2025-12-01</t>
  </si>
  <si>
    <t xml:space="preserve">INV-1049</t>
  </si>
  <si>
    <t xml:space="preserve">2026-05-11</t>
  </si>
  <si>
    <t xml:space="preserve">2026-06-10</t>
  </si>
  <si>
    <t xml:space="preserve">2026-06-08</t>
  </si>
  <si>
    <t xml:space="preserve">INV-1050</t>
  </si>
  <si>
    <t xml:space="preserve">Customer 002</t>
  </si>
  <si>
    <t xml:space="preserve">2026-05-19</t>
  </si>
  <si>
    <t xml:space="preserve">2026-05-06</t>
  </si>
  <si>
    <t xml:space="preserve">INV-1051</t>
  </si>
  <si>
    <t xml:space="preserve">Customer 047</t>
  </si>
  <si>
    <t xml:space="preserve">2026-06-28</t>
  </si>
  <si>
    <t xml:space="preserve">2026-07-28</t>
  </si>
  <si>
    <t xml:space="preserve">INV-1052</t>
  </si>
  <si>
    <t xml:space="preserve">2025-10-09</t>
  </si>
  <si>
    <t xml:space="preserve">INV-1053</t>
  </si>
  <si>
    <t xml:space="preserve">2025-10-31</t>
  </si>
  <si>
    <t xml:space="preserve">2025-11-30</t>
  </si>
  <si>
    <t xml:space="preserve">2025-11-23</t>
  </si>
  <si>
    <t xml:space="preserve">INV-1054</t>
  </si>
  <si>
    <t xml:space="preserve">Customer 052</t>
  </si>
  <si>
    <t xml:space="preserve">INV-1055</t>
  </si>
  <si>
    <t xml:space="preserve">2025-09-19</t>
  </si>
  <si>
    <t xml:space="preserve">INV-1056</t>
  </si>
  <si>
    <t xml:space="preserve">2026-01-14</t>
  </si>
  <si>
    <t xml:space="preserve">2026-02-13</t>
  </si>
  <si>
    <t xml:space="preserve">2026-02-25</t>
  </si>
  <si>
    <t xml:space="preserve">INV-1057</t>
  </si>
  <si>
    <t xml:space="preserve">2026-01-19</t>
  </si>
  <si>
    <t xml:space="preserve">2026-01-02</t>
  </si>
  <si>
    <t xml:space="preserve">INV-1058</t>
  </si>
  <si>
    <t xml:space="preserve">2026-06-25</t>
  </si>
  <si>
    <t xml:space="preserve">INV-1059</t>
  </si>
  <si>
    <t xml:space="preserve">Customer 010</t>
  </si>
  <si>
    <t xml:space="preserve">2026-05-20</t>
  </si>
  <si>
    <t xml:space="preserve">2026-06-19</t>
  </si>
  <si>
    <t xml:space="preserve">INV-1060</t>
  </si>
  <si>
    <t xml:space="preserve">Customer 051</t>
  </si>
  <si>
    <t xml:space="preserve">2025-11-29</t>
  </si>
  <si>
    <t xml:space="preserve">INV-1061</t>
  </si>
  <si>
    <t xml:space="preserve">2026-03-20</t>
  </si>
  <si>
    <t xml:space="preserve">INV-1062</t>
  </si>
  <si>
    <t xml:space="preserve">Customer 031</t>
  </si>
  <si>
    <t xml:space="preserve">2025-12-07</t>
  </si>
  <si>
    <t xml:space="preserve">2026-01-06</t>
  </si>
  <si>
    <t xml:space="preserve">2025-12-25</t>
  </si>
  <si>
    <t xml:space="preserve">INV-1063</t>
  </si>
  <si>
    <t xml:space="preserve">Customer 017</t>
  </si>
  <si>
    <t xml:space="preserve">2025-09-25</t>
  </si>
  <si>
    <t xml:space="preserve">2025-10-18</t>
  </si>
  <si>
    <t xml:space="preserve">INV-1064</t>
  </si>
  <si>
    <t xml:space="preserve">2025-11-11</t>
  </si>
  <si>
    <t xml:space="preserve">INV-1065</t>
  </si>
  <si>
    <t xml:space="preserve">Customer 036</t>
  </si>
  <si>
    <t xml:space="preserve">INV-1066</t>
  </si>
  <si>
    <t xml:space="preserve">Customer 049</t>
  </si>
  <si>
    <t xml:space="preserve">INV-1067</t>
  </si>
  <si>
    <t xml:space="preserve">2026-03-12</t>
  </si>
  <si>
    <t xml:space="preserve">2026-04-10</t>
  </si>
  <si>
    <t xml:space="preserve">INV-1068</t>
  </si>
  <si>
    <t xml:space="preserve">2026-07-19</t>
  </si>
  <si>
    <t xml:space="preserve">INV-1069</t>
  </si>
  <si>
    <t xml:space="preserve">2026-01-23</t>
  </si>
  <si>
    <t xml:space="preserve">2026-02-22</t>
  </si>
  <si>
    <t xml:space="preserve">2026-02-04</t>
  </si>
  <si>
    <t xml:space="preserve">INV-1070</t>
  </si>
  <si>
    <t xml:space="preserve">2026-04-13</t>
  </si>
  <si>
    <t xml:space="preserve">2026-05-28</t>
  </si>
  <si>
    <t xml:space="preserve">2026-05-21</t>
  </si>
  <si>
    <t xml:space="preserve">INV-1071</t>
  </si>
  <si>
    <t xml:space="preserve">Customer 053</t>
  </si>
  <si>
    <t xml:space="preserve">2026-02-02</t>
  </si>
  <si>
    <t xml:space="preserve">2026-03-29</t>
  </si>
  <si>
    <t xml:space="preserve">INV-1072</t>
  </si>
  <si>
    <t xml:space="preserve">Customer 020</t>
  </si>
  <si>
    <t xml:space="preserve">2025-10-08</t>
  </si>
  <si>
    <t xml:space="preserve">INV-1073</t>
  </si>
  <si>
    <t xml:space="preserve">2026-04-06</t>
  </si>
  <si>
    <t xml:space="preserve">2026-05-03</t>
  </si>
  <si>
    <t xml:space="preserve">INV-1074</t>
  </si>
  <si>
    <t xml:space="preserve">Customer 005</t>
  </si>
  <si>
    <t xml:space="preserve">2026-06-09</t>
  </si>
  <si>
    <t xml:space="preserve">2026-07-24</t>
  </si>
  <si>
    <t xml:space="preserve">INV-1075</t>
  </si>
  <si>
    <t xml:space="preserve">2026-04-20</t>
  </si>
  <si>
    <t xml:space="preserve">INV-1076</t>
  </si>
  <si>
    <t xml:space="preserve">2026-03-16</t>
  </si>
  <si>
    <t xml:space="preserve">INV-1077</t>
  </si>
  <si>
    <t xml:space="preserve">Customer 025</t>
  </si>
  <si>
    <t xml:space="preserve">2025-11-02</t>
  </si>
  <si>
    <t xml:space="preserve">2025-12-17</t>
  </si>
  <si>
    <t xml:space="preserve">INV-1078</t>
  </si>
  <si>
    <t xml:space="preserve">Customer 040</t>
  </si>
  <si>
    <t xml:space="preserve">2025-12-10</t>
  </si>
  <si>
    <t xml:space="preserve">2026-01-09</t>
  </si>
  <si>
    <t xml:space="preserve">2026-01-15</t>
  </si>
  <si>
    <t xml:space="preserve">INV-1079</t>
  </si>
  <si>
    <t xml:space="preserve">2025-09-18</t>
  </si>
  <si>
    <t xml:space="preserve">INV-1080</t>
  </si>
  <si>
    <t xml:space="preserve">2025-12-16</t>
  </si>
  <si>
    <t xml:space="preserve">2025-12-24</t>
  </si>
  <si>
    <t xml:space="preserve">INV-1081</t>
  </si>
  <si>
    <t xml:space="preserve">2026-02-03</t>
  </si>
  <si>
    <t xml:space="preserve">2026-03-10</t>
  </si>
  <si>
    <t xml:space="preserve">INV-1082</t>
  </si>
  <si>
    <t xml:space="preserve">2025-09-07</t>
  </si>
  <si>
    <t xml:space="preserve">INV-1083</t>
  </si>
  <si>
    <t xml:space="preserve">2026-05-01</t>
  </si>
  <si>
    <t xml:space="preserve">2026-05-31</t>
  </si>
  <si>
    <t xml:space="preserve">INV-1084</t>
  </si>
  <si>
    <t xml:space="preserve">2026-06-22</t>
  </si>
  <si>
    <t xml:space="preserve">2026-07-22</t>
  </si>
  <si>
    <t xml:space="preserve">INV-1085</t>
  </si>
  <si>
    <t xml:space="preserve">2026-05-29</t>
  </si>
  <si>
    <t xml:space="preserve">INV-1086</t>
  </si>
  <si>
    <t xml:space="preserve">Customer 032</t>
  </si>
  <si>
    <t xml:space="preserve">2025-10-11</t>
  </si>
  <si>
    <t xml:space="preserve">2025-11-10</t>
  </si>
  <si>
    <t xml:space="preserve">INV-1087</t>
  </si>
  <si>
    <t xml:space="preserve">Customer 058</t>
  </si>
  <si>
    <t xml:space="preserve">2026-01-13</t>
  </si>
  <si>
    <t xml:space="preserve">2026-02-27</t>
  </si>
  <si>
    <t xml:space="preserve">INV-1088</t>
  </si>
  <si>
    <t xml:space="preserve">2026-06-02</t>
  </si>
  <si>
    <t xml:space="preserve">INV-1089</t>
  </si>
  <si>
    <t xml:space="preserve">2025-12-30</t>
  </si>
  <si>
    <t xml:space="preserve">2026-01-29</t>
  </si>
  <si>
    <t xml:space="preserve">INV-1090</t>
  </si>
  <si>
    <t xml:space="preserve">Customer 033</t>
  </si>
  <si>
    <t xml:space="preserve">2026-06-18</t>
  </si>
  <si>
    <t xml:space="preserve">INV-1091</t>
  </si>
  <si>
    <t xml:space="preserve">2025-12-04</t>
  </si>
  <si>
    <t xml:space="preserve">INV-1092</t>
  </si>
  <si>
    <t xml:space="preserve">2026-02-18</t>
  </si>
  <si>
    <t xml:space="preserve">INV-1093</t>
  </si>
  <si>
    <t xml:space="preserve">2026-03-14</t>
  </si>
  <si>
    <t xml:space="preserve">INV-1094</t>
  </si>
  <si>
    <t xml:space="preserve">INV-1095</t>
  </si>
  <si>
    <t xml:space="preserve">2025-12-13</t>
  </si>
  <si>
    <t xml:space="preserve">2026-01-27</t>
  </si>
  <si>
    <t xml:space="preserve">INV-1096</t>
  </si>
  <si>
    <t xml:space="preserve">2026-03-21</t>
  </si>
  <si>
    <t xml:space="preserve">INV-1097</t>
  </si>
  <si>
    <t xml:space="preserve">Customer 021</t>
  </si>
  <si>
    <t xml:space="preserve">2026-05-30</t>
  </si>
  <si>
    <t xml:space="preserve">2026-07-14</t>
  </si>
  <si>
    <t xml:space="preserve">INV-1098</t>
  </si>
  <si>
    <t xml:space="preserve">INV-1099</t>
  </si>
  <si>
    <t xml:space="preserve">2025-07-15</t>
  </si>
  <si>
    <t xml:space="preserve">2025-08-29</t>
  </si>
  <si>
    <t xml:space="preserve">2025-08-16</t>
  </si>
  <si>
    <t xml:space="preserve">INV-1100</t>
  </si>
  <si>
    <t xml:space="preserve">2025-08-04</t>
  </si>
  <si>
    <t xml:space="preserve">2025-09-27</t>
  </si>
  <si>
    <t xml:space="preserve">INV-1101</t>
  </si>
  <si>
    <t xml:space="preserve">2025-11-18</t>
  </si>
  <si>
    <t xml:space="preserve">INV-1102</t>
  </si>
  <si>
    <t xml:space="preserve">2026-04-25</t>
  </si>
  <si>
    <t xml:space="preserve">INV-1103</t>
  </si>
  <si>
    <t xml:space="preserve">2025-09-06</t>
  </si>
  <si>
    <t xml:space="preserve">INV-1104</t>
  </si>
  <si>
    <t xml:space="preserve">INV-1105</t>
  </si>
  <si>
    <t xml:space="preserve">2025-12-15</t>
  </si>
  <si>
    <t xml:space="preserve">INV-1106</t>
  </si>
  <si>
    <t xml:space="preserve">INV-1107</t>
  </si>
  <si>
    <t xml:space="preserve">Customer 007</t>
  </si>
  <si>
    <t xml:space="preserve">2026-05-22</t>
  </si>
  <si>
    <t xml:space="preserve">INV-1108</t>
  </si>
  <si>
    <t xml:space="preserve">2026-05-26</t>
  </si>
  <si>
    <t xml:space="preserve">2026-07-10</t>
  </si>
  <si>
    <t xml:space="preserve">2026-06-24</t>
  </si>
  <si>
    <t xml:space="preserve">INV-1109</t>
  </si>
  <si>
    <t xml:space="preserve">2025-08-06</t>
  </si>
  <si>
    <t xml:space="preserve">2025-09-05</t>
  </si>
  <si>
    <t xml:space="preserve">INV-1110</t>
  </si>
  <si>
    <t xml:space="preserve">2026-01-16</t>
  </si>
  <si>
    <t xml:space="preserve">2026-03-02</t>
  </si>
  <si>
    <t xml:space="preserve">2026-03-15</t>
  </si>
  <si>
    <t xml:space="preserve">INV-1111</t>
  </si>
  <si>
    <t xml:space="preserve">INV-1112</t>
  </si>
  <si>
    <t xml:space="preserve">2026-03-11</t>
  </si>
  <si>
    <t xml:space="preserve">2026-03-24</t>
  </si>
  <si>
    <t xml:space="preserve">INV-1113</t>
  </si>
  <si>
    <t xml:space="preserve">INV-1114</t>
  </si>
  <si>
    <t xml:space="preserve">2026-04-27</t>
  </si>
  <si>
    <t xml:space="preserve">2026-05-13</t>
  </si>
  <si>
    <t xml:space="preserve">INV-1115</t>
  </si>
  <si>
    <t xml:space="preserve">2025-08-23</t>
  </si>
  <si>
    <t xml:space="preserve">INV-1116</t>
  </si>
  <si>
    <t xml:space="preserve">2025-10-27</t>
  </si>
  <si>
    <t xml:space="preserve">2025-11-05</t>
  </si>
  <si>
    <t xml:space="preserve">INV-1117</t>
  </si>
  <si>
    <t xml:space="preserve">INV-1118</t>
  </si>
  <si>
    <t xml:space="preserve">2026-01-24</t>
  </si>
  <si>
    <t xml:space="preserve">2026-01-25</t>
  </si>
  <si>
    <t xml:space="preserve">INV-1119</t>
  </si>
  <si>
    <t xml:space="preserve">2025-11-14</t>
  </si>
  <si>
    <t xml:space="preserve">2025-12-29</t>
  </si>
  <si>
    <t xml:space="preserve">INV-1120</t>
  </si>
  <si>
    <t xml:space="preserve">2026-02-06</t>
  </si>
  <si>
    <t xml:space="preserve">INV-1121</t>
  </si>
  <si>
    <t xml:space="preserve">2025-12-06</t>
  </si>
  <si>
    <t xml:space="preserve">2025-12-20</t>
  </si>
  <si>
    <t xml:space="preserve">INV-1122</t>
  </si>
  <si>
    <t xml:space="preserve">2026-07-15</t>
  </si>
  <si>
    <t xml:space="preserve">INV-1123</t>
  </si>
  <si>
    <t xml:space="preserve">2026-01-30</t>
  </si>
  <si>
    <t xml:space="preserve">2026-03-31</t>
  </si>
  <si>
    <t xml:space="preserve">INV-1124</t>
  </si>
  <si>
    <t xml:space="preserve">INV-1125</t>
  </si>
  <si>
    <t xml:space="preserve">INV-1126</t>
  </si>
  <si>
    <t xml:space="preserve">2026-04-01</t>
  </si>
  <si>
    <t xml:space="preserve">INV-1127</t>
  </si>
  <si>
    <t xml:space="preserve">INV-1128</t>
  </si>
  <si>
    <t xml:space="preserve">2026-07-08</t>
  </si>
  <si>
    <t xml:space="preserve">INV-1129</t>
  </si>
  <si>
    <t xml:space="preserve">INV-1130</t>
  </si>
  <si>
    <t xml:space="preserve">2026-04-29</t>
  </si>
  <si>
    <t xml:space="preserve">INV-1131</t>
  </si>
  <si>
    <t xml:space="preserve">2025-07-29</t>
  </si>
  <si>
    <t xml:space="preserve">2025-08-28</t>
  </si>
  <si>
    <t xml:space="preserve">INV-1132</t>
  </si>
  <si>
    <t xml:space="preserve">2025-12-31</t>
  </si>
  <si>
    <t xml:space="preserve">2025-12-27</t>
  </si>
  <si>
    <t xml:space="preserve">INV-1133</t>
  </si>
  <si>
    <t xml:space="preserve">2026-02-24</t>
  </si>
  <si>
    <t xml:space="preserve">INV-1134</t>
  </si>
  <si>
    <t xml:space="preserve">2025-11-27</t>
  </si>
  <si>
    <t xml:space="preserve">INV-1135</t>
  </si>
  <si>
    <t xml:space="preserve">Customer 003</t>
  </si>
  <si>
    <t xml:space="preserve">INV-1136</t>
  </si>
  <si>
    <t xml:space="preserve">2025-07-17</t>
  </si>
  <si>
    <t xml:space="preserve">INV-1137</t>
  </si>
  <si>
    <t xml:space="preserve">2026-02-05</t>
  </si>
  <si>
    <t xml:space="preserve">INV-1138</t>
  </si>
  <si>
    <t xml:space="preserve">2025-10-15</t>
  </si>
  <si>
    <t xml:space="preserve">INV-1139</t>
  </si>
  <si>
    <t xml:space="preserve">2026-06-30</t>
  </si>
  <si>
    <t xml:space="preserve">INV-1140</t>
  </si>
  <si>
    <t xml:space="preserve">2026-01-04</t>
  </si>
  <si>
    <t xml:space="preserve">INV-1141</t>
  </si>
  <si>
    <t xml:space="preserve">INV-1142</t>
  </si>
  <si>
    <t xml:space="preserve">2025-07-24</t>
  </si>
  <si>
    <t xml:space="preserve">2025-09-12</t>
  </si>
  <si>
    <t xml:space="preserve">INV-1143</t>
  </si>
  <si>
    <t xml:space="preserve">INV-1144</t>
  </si>
  <si>
    <t xml:space="preserve">Customer 057</t>
  </si>
  <si>
    <t xml:space="preserve">INV-1145</t>
  </si>
  <si>
    <t xml:space="preserve">2026-03-25</t>
  </si>
  <si>
    <t xml:space="preserve">INV-1146</t>
  </si>
  <si>
    <t xml:space="preserve">2026-04-16</t>
  </si>
  <si>
    <t xml:space="preserve">INV-1147</t>
  </si>
  <si>
    <t xml:space="preserve">INV-1148</t>
  </si>
  <si>
    <t xml:space="preserve">INV-1149</t>
  </si>
  <si>
    <t xml:space="preserve">2026-06-23</t>
  </si>
  <si>
    <t xml:space="preserve">2026-07-23</t>
  </si>
  <si>
    <t xml:space="preserve">INV-1150</t>
  </si>
  <si>
    <t xml:space="preserve">2025-09-03</t>
  </si>
  <si>
    <t xml:space="preserve">2025-10-03</t>
  </si>
  <si>
    <t xml:space="preserve">2025-10-05</t>
  </si>
  <si>
    <t xml:space="preserve">INV-1151</t>
  </si>
  <si>
    <t xml:space="preserve">2025-08-08</t>
  </si>
  <si>
    <t xml:space="preserve">2025-09-16</t>
  </si>
  <si>
    <t xml:space="preserve">INV-1152</t>
  </si>
  <si>
    <t xml:space="preserve">Customer 018</t>
  </si>
  <si>
    <t xml:space="preserve">2026-05-10</t>
  </si>
  <si>
    <t xml:space="preserve">2026-06-16</t>
  </si>
  <si>
    <t xml:space="preserve">INV-1153</t>
  </si>
  <si>
    <t xml:space="preserve">INV-1154</t>
  </si>
  <si>
    <t xml:space="preserve">2026-07-06</t>
  </si>
  <si>
    <t xml:space="preserve">INV-1155</t>
  </si>
  <si>
    <t xml:space="preserve">2025-10-29</t>
  </si>
  <si>
    <t xml:space="preserve">2025-11-28</t>
  </si>
  <si>
    <t xml:space="preserve">INV-1156</t>
  </si>
  <si>
    <t xml:space="preserve">INV-1157</t>
  </si>
  <si>
    <t xml:space="preserve">INV-1158</t>
  </si>
  <si>
    <t xml:space="preserve">INV-1159</t>
  </si>
  <si>
    <t xml:space="preserve">2025-09-24</t>
  </si>
  <si>
    <t xml:space="preserve">INV-1160</t>
  </si>
  <si>
    <t xml:space="preserve">2026-06-21</t>
  </si>
  <si>
    <t xml:space="preserve">INV-1161</t>
  </si>
  <si>
    <t xml:space="preserve">2025-08-01</t>
  </si>
  <si>
    <t xml:space="preserve">INV-1162</t>
  </si>
  <si>
    <t xml:space="preserve">2026-05-08</t>
  </si>
  <si>
    <t xml:space="preserve">INV-1163</t>
  </si>
  <si>
    <t xml:space="preserve">2026-06-17</t>
  </si>
  <si>
    <t xml:space="preserve">2026-07-17</t>
  </si>
  <si>
    <t xml:space="preserve">INV-1164</t>
  </si>
  <si>
    <t xml:space="preserve">INV-1165</t>
  </si>
  <si>
    <t xml:space="preserve">2026-02-15</t>
  </si>
  <si>
    <t xml:space="preserve">INV-1166</t>
  </si>
  <si>
    <t xml:space="preserve">INV-1167</t>
  </si>
  <si>
    <t xml:space="preserve">2025-09-09</t>
  </si>
  <si>
    <t xml:space="preserve">INV-1168</t>
  </si>
  <si>
    <t xml:space="preserve">2026-03-07</t>
  </si>
  <si>
    <t xml:space="preserve">INV-1169</t>
  </si>
  <si>
    <t xml:space="preserve">2025-07-19</t>
  </si>
  <si>
    <t xml:space="preserve">2025-08-18</t>
  </si>
  <si>
    <t xml:space="preserve">INV-1170</t>
  </si>
  <si>
    <t xml:space="preserve">2026-03-17</t>
  </si>
  <si>
    <t xml:space="preserve">2026-05-16</t>
  </si>
  <si>
    <t xml:space="preserve">INV-1171</t>
  </si>
  <si>
    <t xml:space="preserve">INV-1172</t>
  </si>
  <si>
    <t xml:space="preserve">2026-04-28</t>
  </si>
  <si>
    <t xml:space="preserve">2026-04-30</t>
  </si>
  <si>
    <t xml:space="preserve">INV-1173</t>
  </si>
  <si>
    <t xml:space="preserve">2025-07-25</t>
  </si>
  <si>
    <t xml:space="preserve">2025-08-20</t>
  </si>
  <si>
    <t xml:space="preserve">INV-1174</t>
  </si>
  <si>
    <t xml:space="preserve">2026-05-02</t>
  </si>
  <si>
    <t xml:space="preserve">2026-06-01</t>
  </si>
  <si>
    <t xml:space="preserve">INV-1175</t>
  </si>
  <si>
    <t xml:space="preserve">INV-1176</t>
  </si>
  <si>
    <t xml:space="preserve">2026-03-01</t>
  </si>
  <si>
    <t xml:space="preserve">INV-1177</t>
  </si>
  <si>
    <t xml:space="preserve">2025-07-04</t>
  </si>
  <si>
    <t xml:space="preserve">INV-1178</t>
  </si>
  <si>
    <t xml:space="preserve">2025-08-10</t>
  </si>
  <si>
    <t xml:space="preserve">INV-1179</t>
  </si>
  <si>
    <t xml:space="preserve">2025-11-15</t>
  </si>
  <si>
    <t xml:space="preserve">INV-1180</t>
  </si>
  <si>
    <t xml:space="preserve">INV-1181</t>
  </si>
  <si>
    <t xml:space="preserve">INV-1182</t>
  </si>
  <si>
    <t xml:space="preserve">INV-1183</t>
  </si>
  <si>
    <t xml:space="preserve">2026-03-08</t>
  </si>
  <si>
    <t xml:space="preserve">2026-04-22</t>
  </si>
  <si>
    <t xml:space="preserve">INV-1184</t>
  </si>
  <si>
    <t xml:space="preserve">2025-11-21</t>
  </si>
  <si>
    <t xml:space="preserve">INV-1185</t>
  </si>
  <si>
    <t xml:space="preserve">INV-1186</t>
  </si>
  <si>
    <t xml:space="preserve">2026-02-14</t>
  </si>
  <si>
    <t xml:space="preserve">INV-1187</t>
  </si>
  <si>
    <t xml:space="preserve">2026-06-26</t>
  </si>
  <si>
    <t xml:space="preserve">INV-1188</t>
  </si>
  <si>
    <t xml:space="preserve">INV-1189</t>
  </si>
  <si>
    <t xml:space="preserve">2026-03-27</t>
  </si>
  <si>
    <t xml:space="preserve">2026-04-26</t>
  </si>
  <si>
    <t xml:space="preserve">2026-06-27</t>
  </si>
  <si>
    <t xml:space="preserve">INV-1190</t>
  </si>
  <si>
    <t xml:space="preserve">INV-1191</t>
  </si>
  <si>
    <t xml:space="preserve">2026-04-04</t>
  </si>
  <si>
    <t xml:space="preserve">INV-1192</t>
  </si>
  <si>
    <t xml:space="preserve">2026-07-16</t>
  </si>
  <si>
    <t xml:space="preserve">INV-1193</t>
  </si>
  <si>
    <t xml:space="preserve">INV-1194</t>
  </si>
  <si>
    <t xml:space="preserve">Customer 042</t>
  </si>
  <si>
    <t xml:space="preserve">INV-1195</t>
  </si>
  <si>
    <t xml:space="preserve">INV-1196</t>
  </si>
  <si>
    <t xml:space="preserve">INV-1197</t>
  </si>
  <si>
    <t xml:space="preserve">2025-09-15</t>
  </si>
  <si>
    <t xml:space="preserve">INV-1198</t>
  </si>
  <si>
    <t xml:space="preserve">INV-1199</t>
  </si>
  <si>
    <t xml:space="preserve">INV-1200</t>
  </si>
  <si>
    <t xml:space="preserve">INV-1201</t>
  </si>
  <si>
    <t xml:space="preserve">2025-08-11</t>
  </si>
  <si>
    <t xml:space="preserve">2025-08-12</t>
  </si>
  <si>
    <t xml:space="preserve">INV-1202</t>
  </si>
  <si>
    <t xml:space="preserve">2026-02-28</t>
  </si>
  <si>
    <t xml:space="preserve">INV-1203</t>
  </si>
  <si>
    <t xml:space="preserve">INV-1204</t>
  </si>
  <si>
    <t xml:space="preserve">2026-08-24</t>
  </si>
  <si>
    <t xml:space="preserve">INV-1205</t>
  </si>
  <si>
    <t xml:space="preserve">Customer 026</t>
  </si>
  <si>
    <t xml:space="preserve">INV-1206</t>
  </si>
  <si>
    <t xml:space="preserve">INV-1207</t>
  </si>
  <si>
    <t xml:space="preserve">2025-11-26</t>
  </si>
  <si>
    <t xml:space="preserve">INV-1208</t>
  </si>
  <si>
    <t xml:space="preserve">INV-1209</t>
  </si>
  <si>
    <t xml:space="preserve">2026-02-11</t>
  </si>
  <si>
    <t xml:space="preserve">2026-02-17</t>
  </si>
  <si>
    <t xml:space="preserve">INV-1210</t>
  </si>
  <si>
    <t xml:space="preserve">2025-10-21</t>
  </si>
  <si>
    <t xml:space="preserve">INV-1211</t>
  </si>
  <si>
    <t xml:space="preserve">INV-1212</t>
  </si>
  <si>
    <t xml:space="preserve">INV-1213</t>
  </si>
  <si>
    <t xml:space="preserve">INV-1214</t>
  </si>
  <si>
    <t xml:space="preserve">INV-1215</t>
  </si>
  <si>
    <t xml:space="preserve">INV-1216</t>
  </si>
  <si>
    <t xml:space="preserve">INV-1217</t>
  </si>
  <si>
    <t xml:space="preserve">INV-1218</t>
  </si>
  <si>
    <t xml:space="preserve">Customer 034</t>
  </si>
  <si>
    <t xml:space="preserve">INV-1219</t>
  </si>
  <si>
    <t xml:space="preserve">INV-1220</t>
  </si>
  <si>
    <t xml:space="preserve">2026-04-02</t>
  </si>
  <si>
    <t xml:space="preserve">INV-1221</t>
  </si>
  <si>
    <t xml:space="preserve">INV-1222</t>
  </si>
  <si>
    <t xml:space="preserve">INV-1223</t>
  </si>
  <si>
    <t xml:space="preserve">2025-07-18</t>
  </si>
  <si>
    <t xml:space="preserve">2025-08-17</t>
  </si>
  <si>
    <t xml:space="preserve">INV-1224</t>
  </si>
  <si>
    <t xml:space="preserve">INV-1225</t>
  </si>
  <si>
    <t xml:space="preserve">INV-1226</t>
  </si>
  <si>
    <t xml:space="preserve">2026-07-21</t>
  </si>
  <si>
    <t xml:space="preserve">INV-1227</t>
  </si>
  <si>
    <t xml:space="preserve">INV-1228</t>
  </si>
  <si>
    <t xml:space="preserve">INV-1229</t>
  </si>
  <si>
    <t xml:space="preserve">INV-1230</t>
  </si>
  <si>
    <t xml:space="preserve">INV-1231</t>
  </si>
  <si>
    <t xml:space="preserve">INV-1232</t>
  </si>
  <si>
    <t xml:space="preserve">2025-07-14</t>
  </si>
  <si>
    <t xml:space="preserve">INV-1233</t>
  </si>
  <si>
    <t xml:space="preserve">2025-12-26</t>
  </si>
  <si>
    <t xml:space="preserve">INV-1234</t>
  </si>
  <si>
    <t xml:space="preserve">2025-07-26</t>
  </si>
  <si>
    <t xml:space="preserve">INV-1235</t>
  </si>
  <si>
    <t xml:space="preserve">INV-1236</t>
  </si>
  <si>
    <t xml:space="preserve">INV-1237</t>
  </si>
  <si>
    <t xml:space="preserve">INV-1238</t>
  </si>
  <si>
    <t xml:space="preserve">INV-1239</t>
  </si>
  <si>
    <t xml:space="preserve">INV-1240</t>
  </si>
  <si>
    <t xml:space="preserve">INV-1241</t>
  </si>
  <si>
    <t xml:space="preserve">2025-09-13</t>
  </si>
  <si>
    <t xml:space="preserve">2025-10-28</t>
  </si>
  <si>
    <t xml:space="preserve">2025-10-14</t>
  </si>
  <si>
    <t xml:space="preserve">INV-1242</t>
  </si>
  <si>
    <t xml:space="preserve">2026-04-07</t>
  </si>
  <si>
    <t xml:space="preserve">2026-05-07</t>
  </si>
  <si>
    <t xml:space="preserve">INV-1243</t>
  </si>
  <si>
    <t xml:space="preserve">2025-12-19</t>
  </si>
  <si>
    <t xml:space="preserve">INV-1244</t>
  </si>
  <si>
    <t xml:space="preserve">2025-11-22</t>
  </si>
  <si>
    <t xml:space="preserve">INV-1245</t>
  </si>
  <si>
    <t xml:space="preserve">INV-1246</t>
  </si>
  <si>
    <t xml:space="preserve">2026-01-07</t>
  </si>
  <si>
    <t xml:space="preserve">INV-1247</t>
  </si>
  <si>
    <t xml:space="preserve">2026-01-31</t>
  </si>
  <si>
    <t xml:space="preserve">INV-1248</t>
  </si>
  <si>
    <t xml:space="preserve">2026-03-22</t>
  </si>
  <si>
    <t xml:space="preserve">INV-1249</t>
  </si>
  <si>
    <t xml:space="preserve">Customer 022</t>
  </si>
  <si>
    <t xml:space="preserve">2026-01-26</t>
  </si>
  <si>
    <t xml:space="preserve">INV-1250</t>
  </si>
  <si>
    <t xml:space="preserve">INV-1251</t>
  </si>
  <si>
    <t xml:space="preserve">2025-09-14</t>
  </si>
  <si>
    <t xml:space="preserve">INV-1252</t>
  </si>
  <si>
    <t xml:space="preserve">2026-04-05</t>
  </si>
  <si>
    <t xml:space="preserve">INV-1253</t>
  </si>
  <si>
    <t xml:space="preserve">INV-1254</t>
  </si>
  <si>
    <t xml:space="preserve">INV-1255</t>
  </si>
  <si>
    <t xml:space="preserve">INV-1256</t>
  </si>
  <si>
    <t xml:space="preserve">INV-1257</t>
  </si>
  <si>
    <t xml:space="preserve">INV-1258</t>
  </si>
  <si>
    <t xml:space="preserve">2026-06-06</t>
  </si>
  <si>
    <t xml:space="preserve">2026-06-12</t>
  </si>
  <si>
    <t xml:space="preserve">INV-1259</t>
  </si>
  <si>
    <t xml:space="preserve">INV-1260</t>
  </si>
  <si>
    <t xml:space="preserve">INV-1261</t>
  </si>
  <si>
    <t xml:space="preserve">INV-1262</t>
  </si>
  <si>
    <t xml:space="preserve">INV-1263</t>
  </si>
  <si>
    <t xml:space="preserve">INV-1264</t>
  </si>
  <si>
    <t xml:space="preserve">2025-07-30</t>
  </si>
  <si>
    <t xml:space="preserve">INV-1265</t>
  </si>
  <si>
    <t xml:space="preserve">INV-1266</t>
  </si>
  <si>
    <t xml:space="preserve">INV-1267</t>
  </si>
  <si>
    <t xml:space="preserve">2026-07-05</t>
  </si>
  <si>
    <t xml:space="preserve">INV-1268</t>
  </si>
  <si>
    <t xml:space="preserve">2026-07-03</t>
  </si>
  <si>
    <t xml:space="preserve">INV-1269</t>
  </si>
  <si>
    <t xml:space="preserve">INV-1270</t>
  </si>
  <si>
    <t xml:space="preserve">INV-1271</t>
  </si>
  <si>
    <t xml:space="preserve">INV-1272</t>
  </si>
  <si>
    <t xml:space="preserve">2026-06-11</t>
  </si>
  <si>
    <t xml:space="preserve">INV-1273</t>
  </si>
  <si>
    <t xml:space="preserve">INV-1274</t>
  </si>
  <si>
    <t xml:space="preserve">INV-1275</t>
  </si>
  <si>
    <t xml:space="preserve">INV-1276</t>
  </si>
  <si>
    <t xml:space="preserve">INV-1277</t>
  </si>
  <si>
    <t xml:space="preserve">2026-01-28</t>
  </si>
  <si>
    <t xml:space="preserve">INV-1278</t>
  </si>
  <si>
    <t xml:space="preserve">INV-1279</t>
  </si>
  <si>
    <t xml:space="preserve">2025-08-25</t>
  </si>
  <si>
    <t xml:space="preserve">INV-1280</t>
  </si>
  <si>
    <t xml:space="preserve">INV-1281</t>
  </si>
  <si>
    <t xml:space="preserve">INV-1282</t>
  </si>
  <si>
    <t xml:space="preserve">INV-1283</t>
  </si>
  <si>
    <t xml:space="preserve">INV-1284</t>
  </si>
  <si>
    <t xml:space="preserve">INV-1285</t>
  </si>
  <si>
    <t xml:space="preserve">INV-1286</t>
  </si>
  <si>
    <t xml:space="preserve">2026-06-13</t>
  </si>
  <si>
    <t xml:space="preserve">INV-1287</t>
  </si>
  <si>
    <t xml:space="preserve">2026-04-03</t>
  </si>
  <si>
    <t xml:space="preserve">INV-1288</t>
  </si>
  <si>
    <t xml:space="preserve">2026-01-21</t>
  </si>
  <si>
    <t xml:space="preserve">INV-1289</t>
  </si>
  <si>
    <t xml:space="preserve">INV-1290</t>
  </si>
  <si>
    <t xml:space="preserve">INV-1291</t>
  </si>
  <si>
    <t xml:space="preserve">2026-07-27</t>
  </si>
  <si>
    <t xml:space="preserve">INV-1292</t>
  </si>
  <si>
    <t xml:space="preserve">INV-1293</t>
  </si>
  <si>
    <t xml:space="preserve">INV-1294</t>
  </si>
  <si>
    <t xml:space="preserve">INV-1295</t>
  </si>
  <si>
    <t xml:space="preserve">INV-1296</t>
  </si>
  <si>
    <t xml:space="preserve">2025-07-09</t>
  </si>
  <si>
    <t xml:space="preserve">INV-1297</t>
  </si>
  <si>
    <t xml:space="preserve">2025-10-04</t>
  </si>
  <si>
    <t xml:space="preserve">INV-1298</t>
  </si>
  <si>
    <t xml:space="preserve">INV-1299</t>
  </si>
  <si>
    <t xml:space="preserve">2025-11-09</t>
  </si>
  <si>
    <t xml:space="preserve">2026-01-05</t>
  </si>
  <si>
    <t xml:space="preserve">INV-1300</t>
  </si>
  <si>
    <t xml:space="preserve">INV-1301</t>
  </si>
  <si>
    <t xml:space="preserve">INV-1302</t>
  </si>
  <si>
    <t xml:space="preserve">INV-1303</t>
  </si>
  <si>
    <t xml:space="preserve">INV-1304</t>
  </si>
  <si>
    <t xml:space="preserve">INV-1305</t>
  </si>
  <si>
    <t xml:space="preserve">INV-1306</t>
  </si>
  <si>
    <t xml:space="preserve">INV-1307</t>
  </si>
  <si>
    <t xml:space="preserve">INV-1308</t>
  </si>
  <si>
    <t xml:space="preserve">INV-1309</t>
  </si>
  <si>
    <t xml:space="preserve">INV-1310</t>
  </si>
  <si>
    <t xml:space="preserve">INV-1311</t>
  </si>
  <si>
    <t xml:space="preserve">INV-1312</t>
  </si>
  <si>
    <t xml:space="preserve">INV-1313</t>
  </si>
  <si>
    <t xml:space="preserve">INV-1314</t>
  </si>
  <si>
    <t xml:space="preserve">INV-1315</t>
  </si>
  <si>
    <t xml:space="preserve">2026-03-03</t>
  </si>
  <si>
    <t xml:space="preserve">INV-1316</t>
  </si>
  <si>
    <t xml:space="preserve">INV-1317</t>
  </si>
  <si>
    <t xml:space="preserve">INV-1318</t>
  </si>
  <si>
    <t xml:space="preserve">INV-1319</t>
  </si>
  <si>
    <t xml:space="preserve">2025-07-20</t>
  </si>
  <si>
    <t xml:space="preserve">INV-1320</t>
  </si>
  <si>
    <t xml:space="preserve">2025-08-21</t>
  </si>
  <si>
    <t xml:space="preserve">INV-1321</t>
  </si>
  <si>
    <t xml:space="preserve">INV-1322</t>
  </si>
  <si>
    <t xml:space="preserve">INV-1323</t>
  </si>
  <si>
    <t xml:space="preserve">2026-01-17</t>
  </si>
  <si>
    <t xml:space="preserve">INV-1324</t>
  </si>
  <si>
    <t xml:space="preserve">INV-1325</t>
  </si>
  <si>
    <t xml:space="preserve">INV-1326</t>
  </si>
  <si>
    <t xml:space="preserve">INV-1327</t>
  </si>
  <si>
    <t xml:space="preserve">INV-1328</t>
  </si>
  <si>
    <t xml:space="preserve">INV-1329</t>
  </si>
  <si>
    <t xml:space="preserve">INV-1330</t>
  </si>
  <si>
    <t xml:space="preserve">2025-10-06</t>
  </si>
  <si>
    <t xml:space="preserve">INV-1331</t>
  </si>
  <si>
    <t xml:space="preserve">INV-1332</t>
  </si>
  <si>
    <t xml:space="preserve">INV-1333</t>
  </si>
  <si>
    <t xml:space="preserve">INV-1334</t>
  </si>
  <si>
    <t xml:space="preserve">2026-06-20</t>
  </si>
  <si>
    <t xml:space="preserve">INV-1335</t>
  </si>
  <si>
    <t xml:space="preserve">INV-1336</t>
  </si>
  <si>
    <t xml:space="preserve">INV-1337</t>
  </si>
  <si>
    <t xml:space="preserve">2025-12-08</t>
  </si>
  <si>
    <t xml:space="preserve">INV-1338</t>
  </si>
  <si>
    <t xml:space="preserve">INV-1339</t>
  </si>
  <si>
    <t xml:space="preserve">INV-1340</t>
  </si>
  <si>
    <t xml:space="preserve">INV-1341</t>
  </si>
  <si>
    <t xml:space="preserve">2025-07-16</t>
  </si>
  <si>
    <t xml:space="preserve">INV-1342</t>
  </si>
  <si>
    <t xml:space="preserve">INV-1343</t>
  </si>
  <si>
    <t xml:space="preserve">2026-02-08</t>
  </si>
  <si>
    <t xml:space="preserve">INV-1344</t>
  </si>
  <si>
    <t xml:space="preserve">INV-1345</t>
  </si>
  <si>
    <t xml:space="preserve">INV-1346</t>
  </si>
  <si>
    <t xml:space="preserve">2025-07-21</t>
  </si>
  <si>
    <t xml:space="preserve">INV-1347</t>
  </si>
  <si>
    <t xml:space="preserve">INV-1348</t>
  </si>
  <si>
    <t xml:space="preserve">INV-1349</t>
  </si>
  <si>
    <t xml:space="preserve">INV-1350</t>
  </si>
  <si>
    <t xml:space="preserve">2026-03-05</t>
  </si>
  <si>
    <t xml:space="preserve">INV-1351</t>
  </si>
  <si>
    <t xml:space="preserve">INV-1352</t>
  </si>
  <si>
    <t xml:space="preserve">INV-1353</t>
  </si>
  <si>
    <t xml:space="preserve">INV-1354</t>
  </si>
  <si>
    <t xml:space="preserve">INV-1355</t>
  </si>
  <si>
    <t xml:space="preserve">INV-1356</t>
  </si>
  <si>
    <t xml:space="preserve">INV-1357</t>
  </si>
  <si>
    <t xml:space="preserve">INV-1358</t>
  </si>
  <si>
    <t xml:space="preserve">INV-1359</t>
  </si>
  <si>
    <t xml:space="preserve">INV-1360</t>
  </si>
  <si>
    <t xml:space="preserve">2025-07-27</t>
  </si>
  <si>
    <t xml:space="preserve">INV-1361</t>
  </si>
  <si>
    <t xml:space="preserve">INV-1362</t>
  </si>
  <si>
    <t xml:space="preserve">INV-1363</t>
  </si>
  <si>
    <t xml:space="preserve">INV-1364</t>
  </si>
  <si>
    <t xml:space="preserve">2025-11-03</t>
  </si>
  <si>
    <t xml:space="preserve">INV-1365</t>
  </si>
  <si>
    <t xml:space="preserve">INV-1366</t>
  </si>
  <si>
    <t xml:space="preserve">INV-1367</t>
  </si>
  <si>
    <t xml:space="preserve">INV-1368</t>
  </si>
  <si>
    <t xml:space="preserve">INV-1369</t>
  </si>
  <si>
    <t xml:space="preserve">2025-08-07</t>
  </si>
  <si>
    <t xml:space="preserve">INV-1370</t>
  </si>
  <si>
    <t xml:space="preserve">INV-1371</t>
  </si>
  <si>
    <t xml:space="preserve">INV-1372</t>
  </si>
  <si>
    <t xml:space="preserve">INV-1373</t>
  </si>
  <si>
    <t xml:space="preserve">INV-1374</t>
  </si>
  <si>
    <t xml:space="preserve">2026-05-04</t>
  </si>
  <si>
    <t xml:space="preserve">2026-06-03</t>
  </si>
  <si>
    <t xml:space="preserve">INV-1375</t>
  </si>
  <si>
    <t xml:space="preserve">INV-1376</t>
  </si>
  <si>
    <t xml:space="preserve">INV-1377</t>
  </si>
  <si>
    <t xml:space="preserve">INV-1378</t>
  </si>
  <si>
    <t xml:space="preserve">INV-1379</t>
  </si>
  <si>
    <t xml:space="preserve">INV-1380</t>
  </si>
  <si>
    <t xml:space="preserve">INV-1381</t>
  </si>
  <si>
    <t xml:space="preserve">INV-1382</t>
  </si>
  <si>
    <t xml:space="preserve">INV-1383</t>
  </si>
  <si>
    <t xml:space="preserve">INV-1384</t>
  </si>
  <si>
    <t xml:space="preserve">INV-1385</t>
  </si>
  <si>
    <t xml:space="preserve">2025-07-06</t>
  </si>
  <si>
    <t xml:space="preserve">2025-08-05</t>
  </si>
  <si>
    <t xml:space="preserve">2025-07-22</t>
  </si>
  <si>
    <t xml:space="preserve">INV-1386</t>
  </si>
  <si>
    <t xml:space="preserve">INV-1387</t>
  </si>
  <si>
    <t xml:space="preserve">2025-08-03</t>
  </si>
  <si>
    <t xml:space="preserve">INV-1388</t>
  </si>
  <si>
    <t xml:space="preserve">INV-1389</t>
  </si>
  <si>
    <t xml:space="preserve">INV-1390</t>
  </si>
  <si>
    <t xml:space="preserve">INV-1391</t>
  </si>
  <si>
    <t xml:space="preserve">INV-1392</t>
  </si>
  <si>
    <t xml:space="preserve">INV-1393</t>
  </si>
  <si>
    <t xml:space="preserve">INV-1394</t>
  </si>
  <si>
    <t xml:space="preserve">2026-07-26</t>
  </si>
  <si>
    <t xml:space="preserve">INV-1395</t>
  </si>
  <si>
    <t xml:space="preserve">INV-1396</t>
  </si>
  <si>
    <t xml:space="preserve">INV-1397</t>
  </si>
  <si>
    <t xml:space="preserve">INV-1398</t>
  </si>
  <si>
    <t xml:space="preserve">INV-1399</t>
  </si>
  <si>
    <t xml:space="preserve">INV-1400</t>
  </si>
  <si>
    <t xml:space="preserve">INV-1401</t>
  </si>
  <si>
    <t xml:space="preserve">2025-07-31</t>
  </si>
  <si>
    <t xml:space="preserve">2025-08-30</t>
  </si>
  <si>
    <t xml:space="preserve">INV-1402</t>
  </si>
  <si>
    <t xml:space="preserve">INV-1403</t>
  </si>
  <si>
    <t xml:space="preserve">INV-1404</t>
  </si>
  <si>
    <t xml:space="preserve">2025-07-03</t>
  </si>
  <si>
    <t xml:space="preserve">INV-1405</t>
  </si>
  <si>
    <t xml:space="preserve">2025-08-14</t>
  </si>
  <si>
    <t xml:space="preserve">INV-1406</t>
  </si>
  <si>
    <t xml:space="preserve">INV-1407</t>
  </si>
  <si>
    <t xml:space="preserve">2025-09-29</t>
  </si>
  <si>
    <t xml:space="preserve">INV-1408</t>
  </si>
  <si>
    <t xml:space="preserve">INV-1409</t>
  </si>
  <si>
    <t xml:space="preserve">2025-07-02</t>
  </si>
  <si>
    <t xml:space="preserve">INV-1410</t>
  </si>
  <si>
    <t xml:space="preserve">INV-1411</t>
  </si>
  <si>
    <t xml:space="preserve">INV-1412</t>
  </si>
  <si>
    <t xml:space="preserve">INV-1413</t>
  </si>
  <si>
    <t xml:space="preserve">INV-1414</t>
  </si>
  <si>
    <t xml:space="preserve">2026-08-04</t>
  </si>
  <si>
    <t xml:space="preserve">INV-1415</t>
  </si>
  <si>
    <t xml:space="preserve">INV-1416</t>
  </si>
  <si>
    <t xml:space="preserve">INV-1417</t>
  </si>
  <si>
    <t xml:space="preserve">INV-1418</t>
  </si>
  <si>
    <t xml:space="preserve">INV-1419</t>
  </si>
  <si>
    <t xml:space="preserve">Open AR — Aging Analysis</t>
  </si>
  <si>
    <t xml:space="preserve">Bucket</t>
  </si>
  <si>
    <t xml:space="preserve">Open Amount ($)</t>
  </si>
  <si>
    <t xml:space="preserve">% of Open AR</t>
  </si>
  <si>
    <t xml:space="preserve">Current</t>
  </si>
  <si>
    <t xml:space="preserve">1-30 days</t>
  </si>
  <si>
    <t xml:space="preserve">31-60 days</t>
  </si>
  <si>
    <t xml:space="preserve">61-90 days</t>
  </si>
  <si>
    <t xml:space="preserve">90+ days</t>
  </si>
  <si>
    <t xml:space="preserve">Total Open 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</si>
</sst>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;&quot;($&quot;#,##0\);\-"/>
    <numFmt numFmtId="167" formatCode="0.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AR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'Aging Analysis'!B3</c:f>
              <c:strCache>
                <c:ptCount val="1"/>
                <c:pt idx="0">
                  <c:v>Open Amount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'Aging Analysis'!$A$4:$A$8</c:f>
              <c:strCache>
                <c:ptCount val="5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'Aging Analysis'!$B$4:$B$8</c:f>
              <c:numCache>
                <c:formatCode>\$#,##0;"($"#,##0\);\-</c:formatCode>
                <c:ptCount val="5"/>
                <c:pt idx="0">
                  <c:v>153071.84</c:v>
                </c:pt>
                <c:pt idx="1">
                  <c:v>57180.51</c:v>
                </c:pt>
                <c:pt idx="2">
                  <c:v>17142.76</c:v>
                </c:pt>
                <c:pt idx="3">
                  <c:v>15866.56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1971086"/>
        <c:axId val="16641466"/>
      </c:barChart>
      <c:catAx>
        <c:axId val="91971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41466"/>
        <c:crosses val="autoZero"/>
        <c:auto val="1"/>
        <c:lblAlgn val="ctr"/>
        <c:lblOffset val="100"/>
        <c:noMultiLvlLbl val="0"/>
      </c:catAx>
      <c:valAx>
        <c:axId val="16641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71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13</xdr:col>
      <xdr:colOff>256320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39949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COUNTA('Invoice Ledger'!A2:A421)</f>
        <v>420</v>
      </c>
    </row>
    <row r="6" customFormat="false" ht="15" hidden="false" customHeight="false" outlineLevel="0" collapsed="false">
      <c r="A6" s="4" t="s">
        <v>5</v>
      </c>
      <c r="B6" s="6" t="n">
        <f aca="false">SUM('Invoice Ledger'!F2:F421)</f>
        <v>2211832.8</v>
      </c>
    </row>
    <row r="7" customFormat="false" ht="15" hidden="false" customHeight="false" outlineLevel="0" collapsed="false">
      <c r="A7" s="4" t="s">
        <v>6</v>
      </c>
      <c r="B7" s="6" t="n">
        <f aca="false">SUMIFS('Invoice Ledger'!F2:F421,'Invoice Ledger'!H2:H421,"Open")</f>
        <v>243261.67</v>
      </c>
    </row>
    <row r="8" customFormat="false" ht="15" hidden="false" customHeight="false" outlineLevel="0" collapsed="false">
      <c r="A8" s="4" t="s">
        <v>7</v>
      </c>
      <c r="B8" s="7" t="n">
        <f aca="false">AVERAGEIFS('Invoice Ledger'!I2:I421,'Invoice Ledger'!H2:H421,"Paid")</f>
        <v>39.2338709677419</v>
      </c>
    </row>
    <row r="9" customFormat="false" ht="15" hidden="false" customHeight="false" outlineLevel="0" collapsed="false">
      <c r="A9" s="4" t="s">
        <v>8</v>
      </c>
      <c r="B9" s="8" t="n">
        <f aca="false">COUNTIFS('Invoice Ledger'!H2:H421,"Paid",'Invoice Ledger'!J2:J421,"&lt;=0")/COUNTIFS('Invoice Ledger'!H2:H421,"Paid")</f>
        <v>0.502688172043011</v>
      </c>
    </row>
    <row r="10" customFormat="false" ht="15" hidden="false" customHeight="false" outlineLevel="0" collapsed="false">
      <c r="A10" s="4" t="s">
        <v>9</v>
      </c>
      <c r="B10" s="8" t="n">
        <f aca="false">'Aging Analysis'!C8</f>
        <v>0</v>
      </c>
    </row>
    <row r="12" customFormat="false" ht="15" hidden="false" customHeight="false" outlineLevel="0" collapsed="false">
      <c r="A1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15" hidden="false" customHeight="fals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</row>
    <row r="2" customFormat="false" ht="15" hidden="false" customHeight="false" outlineLevel="0" collapsed="false">
      <c r="A2" s="10" t="s">
        <v>22</v>
      </c>
      <c r="B2" s="10" t="s">
        <v>23</v>
      </c>
      <c r="C2" s="10" t="s">
        <v>24</v>
      </c>
      <c r="D2" s="10" t="s">
        <v>25</v>
      </c>
      <c r="E2" s="10" t="n">
        <v>45</v>
      </c>
      <c r="F2" s="10" t="n">
        <v>4230.16</v>
      </c>
      <c r="G2" s="10" t="s">
        <v>26</v>
      </c>
      <c r="H2" s="11" t="str">
        <f aca="false">IF(G2="","Open","Paid")</f>
        <v>Paid</v>
      </c>
      <c r="I2" s="11" t="n">
        <f aca="false">IF(G2="","",DATEVALUE(G2)-DATEVALUE(C2))</f>
        <v>59</v>
      </c>
      <c r="J2" s="11" t="n">
        <f aca="true">IF(G2="",TODAY()-DATEVALUE(D2),DATEVALUE(G2)-DATEVALUE(D2))</f>
        <v>14</v>
      </c>
      <c r="K2" s="11" t="str">
        <f aca="false">IF(J2&lt;=0,"Current",IF(J2&lt;=30,"1-30 days",IF(J2&lt;=60,"31-60 days",IF(J2&lt;=90,"61-90 days","90+ days"))))</f>
        <v>1-30 days</v>
      </c>
    </row>
    <row r="3" customFormat="false" ht="15" hidden="false" customHeight="fals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n">
        <v>30</v>
      </c>
      <c r="F3" s="10" t="n">
        <v>5582.36</v>
      </c>
      <c r="G3" s="10" t="s">
        <v>31</v>
      </c>
      <c r="H3" s="11" t="str">
        <f aca="false">IF(G3="","Open","Paid")</f>
        <v>Paid</v>
      </c>
      <c r="I3" s="11" t="n">
        <f aca="false">IF(G3="","",DATEVALUE(G3)-DATEVALUE(C3))</f>
        <v>21</v>
      </c>
      <c r="J3" s="11" t="n">
        <f aca="true">IF(G3="",TODAY()-DATEVALUE(D3),DATEVALUE(G3)-DATEVALUE(D3))</f>
        <v>-9</v>
      </c>
      <c r="K3" s="11" t="str">
        <f aca="false">IF(J3&lt;=0,"Current",IF(J3&lt;=30,"1-30 days",IF(J3&lt;=60,"31-60 days",IF(J3&lt;=90,"61-90 days","90+ days"))))</f>
        <v>Current</v>
      </c>
    </row>
    <row r="4" customFormat="false" ht="15" hidden="false" customHeight="false" outlineLevel="0" collapsed="false">
      <c r="A4" s="10" t="s">
        <v>32</v>
      </c>
      <c r="B4" s="10" t="s">
        <v>33</v>
      </c>
      <c r="C4" s="10" t="s">
        <v>34</v>
      </c>
      <c r="D4" s="10" t="s">
        <v>35</v>
      </c>
      <c r="E4" s="10" t="n">
        <v>30</v>
      </c>
      <c r="F4" s="10" t="n">
        <v>3180.44</v>
      </c>
      <c r="G4" s="10" t="s">
        <v>36</v>
      </c>
      <c r="H4" s="11" t="str">
        <f aca="false">IF(G4="","Open","Paid")</f>
        <v>Paid</v>
      </c>
      <c r="I4" s="11" t="n">
        <f aca="false">IF(G4="","",DATEVALUE(G4)-DATEVALUE(C4))</f>
        <v>32</v>
      </c>
      <c r="J4" s="11" t="n">
        <f aca="true">IF(G4="",TODAY()-DATEVALUE(D4),DATEVALUE(G4)-DATEVALUE(D4))</f>
        <v>2</v>
      </c>
      <c r="K4" s="11" t="str">
        <f aca="false">IF(J4&lt;=0,"Current",IF(J4&lt;=30,"1-30 days",IF(J4&lt;=60,"31-60 days",IF(J4&lt;=90,"61-90 days","90+ days"))))</f>
        <v>1-30 days</v>
      </c>
    </row>
    <row r="5" customFormat="false" ht="15" hidden="false" customHeight="false" outlineLevel="0" collapsed="false">
      <c r="A5" s="10" t="s">
        <v>37</v>
      </c>
      <c r="B5" s="10" t="s">
        <v>38</v>
      </c>
      <c r="C5" s="10" t="s">
        <v>39</v>
      </c>
      <c r="D5" s="10" t="s">
        <v>40</v>
      </c>
      <c r="E5" s="10" t="n">
        <v>30</v>
      </c>
      <c r="F5" s="10" t="n">
        <v>3712.69</v>
      </c>
      <c r="G5" s="10" t="s">
        <v>40</v>
      </c>
      <c r="H5" s="11" t="str">
        <f aca="false">IF(G5="","Open","Paid")</f>
        <v>Paid</v>
      </c>
      <c r="I5" s="11" t="n">
        <f aca="false">IF(G5="","",DATEVALUE(G5)-DATEVALUE(C5))</f>
        <v>30</v>
      </c>
      <c r="J5" s="11" t="n">
        <f aca="true">IF(G5="",TODAY()-DATEVALUE(D5),DATEVALUE(G5)-DATEVALUE(D5))</f>
        <v>0</v>
      </c>
      <c r="K5" s="11" t="str">
        <f aca="false">IF(J5&lt;=0,"Current",IF(J5&lt;=30,"1-30 days",IF(J5&lt;=60,"31-60 days",IF(J5&lt;=90,"61-90 days","90+ days"))))</f>
        <v>Current</v>
      </c>
    </row>
    <row r="6" customFormat="false" ht="15" hidden="false" customHeight="false" outlineLevel="0" collapsed="false">
      <c r="A6" s="10" t="s">
        <v>41</v>
      </c>
      <c r="B6" s="10" t="s">
        <v>42</v>
      </c>
      <c r="C6" s="10" t="s">
        <v>43</v>
      </c>
      <c r="D6" s="10" t="s">
        <v>44</v>
      </c>
      <c r="E6" s="10" t="n">
        <v>45</v>
      </c>
      <c r="F6" s="10" t="n">
        <v>5648.67</v>
      </c>
      <c r="G6" s="10"/>
      <c r="H6" s="11" t="str">
        <f aca="false">IF(G6="","Open","Paid")</f>
        <v>Open</v>
      </c>
      <c r="I6" s="11" t="str">
        <f aca="false">IF(G6="","",DATEVALUE(G6)-DATEVALUE(C6))</f>
        <v/>
      </c>
      <c r="J6" s="11" t="n">
        <f aca="true">IF(G6="",TODAY()-DATEVALUE(D6),DATEVALUE(G6)-DATEVALUE(D6))</f>
        <v>-8</v>
      </c>
      <c r="K6" s="11" t="str">
        <f aca="false">IF(J6&lt;=0,"Current",IF(J6&lt;=30,"1-30 days",IF(J6&lt;=60,"31-60 days",IF(J6&lt;=90,"61-90 days","90+ days"))))</f>
        <v>Current</v>
      </c>
    </row>
    <row r="7" customFormat="false" ht="15" hidden="false" customHeight="false" outlineLevel="0" collapsed="false">
      <c r="A7" s="10" t="s">
        <v>45</v>
      </c>
      <c r="B7" s="10" t="s">
        <v>46</v>
      </c>
      <c r="C7" s="10" t="s">
        <v>47</v>
      </c>
      <c r="D7" s="10" t="s">
        <v>48</v>
      </c>
      <c r="E7" s="10" t="n">
        <v>45</v>
      </c>
      <c r="F7" s="10" t="n">
        <v>3519.85</v>
      </c>
      <c r="G7" s="10" t="s">
        <v>49</v>
      </c>
      <c r="H7" s="11" t="str">
        <f aca="false">IF(G7="","Open","Paid")</f>
        <v>Paid</v>
      </c>
      <c r="I7" s="11" t="n">
        <f aca="false">IF(G7="","",DATEVALUE(G7)-DATEVALUE(C7))</f>
        <v>36</v>
      </c>
      <c r="J7" s="11" t="n">
        <f aca="true">IF(G7="",TODAY()-DATEVALUE(D7),DATEVALUE(G7)-DATEVALUE(D7))</f>
        <v>-9</v>
      </c>
      <c r="K7" s="11" t="str">
        <f aca="false">IF(J7&lt;=0,"Current",IF(J7&lt;=30,"1-30 days",IF(J7&lt;=60,"31-60 days",IF(J7&lt;=90,"61-90 days","90+ days"))))</f>
        <v>Current</v>
      </c>
    </row>
    <row r="8" customFormat="false" ht="15" hidden="false" customHeight="false" outlineLevel="0" collapsed="false">
      <c r="A8" s="10" t="s">
        <v>50</v>
      </c>
      <c r="B8" s="10" t="s">
        <v>38</v>
      </c>
      <c r="C8" s="10" t="s">
        <v>51</v>
      </c>
      <c r="D8" s="10" t="s">
        <v>52</v>
      </c>
      <c r="E8" s="10" t="n">
        <v>30</v>
      </c>
      <c r="F8" s="10" t="n">
        <v>2130.39</v>
      </c>
      <c r="G8" s="10" t="s">
        <v>53</v>
      </c>
      <c r="H8" s="11" t="str">
        <f aca="false">IF(G8="","Open","Paid")</f>
        <v>Paid</v>
      </c>
      <c r="I8" s="11" t="n">
        <f aca="false">IF(G8="","",DATEVALUE(G8)-DATEVALUE(C8))</f>
        <v>28</v>
      </c>
      <c r="J8" s="11" t="n">
        <f aca="true">IF(G8="",TODAY()-DATEVALUE(D8),DATEVALUE(G8)-DATEVALUE(D8))</f>
        <v>-2</v>
      </c>
      <c r="K8" s="11" t="str">
        <f aca="false">IF(J8&lt;=0,"Current",IF(J8&lt;=30,"1-30 days",IF(J8&lt;=60,"31-60 days",IF(J8&lt;=90,"61-90 days","90+ days"))))</f>
        <v>Current</v>
      </c>
    </row>
    <row r="9" customFormat="false" ht="15" hidden="false" customHeight="false" outlineLevel="0" collapsed="false">
      <c r="A9" s="10" t="s">
        <v>54</v>
      </c>
      <c r="B9" s="10" t="s">
        <v>55</v>
      </c>
      <c r="C9" s="10" t="s">
        <v>56</v>
      </c>
      <c r="D9" s="10" t="s">
        <v>57</v>
      </c>
      <c r="E9" s="10" t="n">
        <v>45</v>
      </c>
      <c r="F9" s="10" t="n">
        <v>1143.71</v>
      </c>
      <c r="G9" s="10" t="s">
        <v>58</v>
      </c>
      <c r="H9" s="11" t="str">
        <f aca="false">IF(G9="","Open","Paid")</f>
        <v>Paid</v>
      </c>
      <c r="I9" s="11" t="n">
        <f aca="false">IF(G9="","",DATEVALUE(G9)-DATEVALUE(C9))</f>
        <v>25</v>
      </c>
      <c r="J9" s="11" t="n">
        <f aca="true">IF(G9="",TODAY()-DATEVALUE(D9),DATEVALUE(G9)-DATEVALUE(D9))</f>
        <v>-20</v>
      </c>
      <c r="K9" s="11" t="str">
        <f aca="false">IF(J9&lt;=0,"Current",IF(J9&lt;=30,"1-30 days",IF(J9&lt;=60,"31-60 days",IF(J9&lt;=90,"61-90 days","90+ days"))))</f>
        <v>Current</v>
      </c>
    </row>
    <row r="10" customFormat="false" ht="15" hidden="false" customHeight="false" outlineLevel="0" collapsed="false">
      <c r="A10" s="10" t="s">
        <v>59</v>
      </c>
      <c r="B10" s="10" t="s">
        <v>38</v>
      </c>
      <c r="C10" s="10" t="s">
        <v>60</v>
      </c>
      <c r="D10" s="10" t="s">
        <v>61</v>
      </c>
      <c r="E10" s="10" t="n">
        <v>30</v>
      </c>
      <c r="F10" s="10" t="n">
        <v>4891.45</v>
      </c>
      <c r="G10" s="10" t="s">
        <v>62</v>
      </c>
      <c r="H10" s="11" t="str">
        <f aca="false">IF(G10="","Open","Paid")</f>
        <v>Paid</v>
      </c>
      <c r="I10" s="11" t="n">
        <f aca="false">IF(G10="","",DATEVALUE(G10)-DATEVALUE(C10))</f>
        <v>31</v>
      </c>
      <c r="J10" s="11" t="n">
        <f aca="true">IF(G10="",TODAY()-DATEVALUE(D10),DATEVALUE(G10)-DATEVALUE(D10))</f>
        <v>1</v>
      </c>
      <c r="K10" s="11" t="str">
        <f aca="false">IF(J10&lt;=0,"Current",IF(J10&lt;=30,"1-30 days",IF(J10&lt;=60,"31-60 days",IF(J10&lt;=90,"61-90 days","90+ days"))))</f>
        <v>1-30 days</v>
      </c>
    </row>
    <row r="11" customFormat="false" ht="15" hidden="false" customHeight="false" outlineLevel="0" collapsed="false">
      <c r="A11" s="10" t="s">
        <v>63</v>
      </c>
      <c r="B11" s="10" t="s">
        <v>64</v>
      </c>
      <c r="C11" s="10" t="s">
        <v>65</v>
      </c>
      <c r="D11" s="10" t="s">
        <v>66</v>
      </c>
      <c r="E11" s="10" t="n">
        <v>45</v>
      </c>
      <c r="F11" s="10" t="n">
        <v>9326.61</v>
      </c>
      <c r="G11" s="10" t="s">
        <v>67</v>
      </c>
      <c r="H11" s="11" t="str">
        <f aca="false">IF(G11="","Open","Paid")</f>
        <v>Paid</v>
      </c>
      <c r="I11" s="11" t="n">
        <f aca="false">IF(G11="","",DATEVALUE(G11)-DATEVALUE(C11))</f>
        <v>50</v>
      </c>
      <c r="J11" s="11" t="n">
        <f aca="true">IF(G11="",TODAY()-DATEVALUE(D11),DATEVALUE(G11)-DATEVALUE(D11))</f>
        <v>5</v>
      </c>
      <c r="K11" s="11" t="str">
        <f aca="false">IF(J11&lt;=0,"Current",IF(J11&lt;=30,"1-30 days",IF(J11&lt;=60,"31-60 days",IF(J11&lt;=90,"61-90 days","90+ days"))))</f>
        <v>1-30 days</v>
      </c>
    </row>
    <row r="12" customFormat="false" ht="15" hidden="false" customHeight="false" outlineLevel="0" collapsed="false">
      <c r="A12" s="10" t="s">
        <v>68</v>
      </c>
      <c r="B12" s="10" t="s">
        <v>38</v>
      </c>
      <c r="C12" s="10" t="s">
        <v>69</v>
      </c>
      <c r="D12" s="10" t="s">
        <v>70</v>
      </c>
      <c r="E12" s="10" t="n">
        <v>60</v>
      </c>
      <c r="F12" s="10" t="n">
        <v>6060.4</v>
      </c>
      <c r="G12" s="10" t="s">
        <v>71</v>
      </c>
      <c r="H12" s="11" t="str">
        <f aca="false">IF(G12="","Open","Paid")</f>
        <v>Paid</v>
      </c>
      <c r="I12" s="11" t="n">
        <f aca="false">IF(G12="","",DATEVALUE(G12)-DATEVALUE(C12))</f>
        <v>57</v>
      </c>
      <c r="J12" s="11" t="n">
        <f aca="true">IF(G12="",TODAY()-DATEVALUE(D12),DATEVALUE(G12)-DATEVALUE(D12))</f>
        <v>-3</v>
      </c>
      <c r="K12" s="11" t="str">
        <f aca="false">IF(J12&lt;=0,"Current",IF(J12&lt;=30,"1-30 days",IF(J12&lt;=60,"31-60 days",IF(J12&lt;=90,"61-90 days","90+ days"))))</f>
        <v>Current</v>
      </c>
    </row>
    <row r="13" customFormat="false" ht="15" hidden="false" customHeight="false" outlineLevel="0" collapsed="false">
      <c r="A13" s="10" t="s">
        <v>72</v>
      </c>
      <c r="B13" s="10" t="s">
        <v>73</v>
      </c>
      <c r="C13" s="10" t="s">
        <v>74</v>
      </c>
      <c r="D13" s="10" t="s">
        <v>75</v>
      </c>
      <c r="E13" s="10" t="n">
        <v>45</v>
      </c>
      <c r="F13" s="10" t="n">
        <v>2189.59</v>
      </c>
      <c r="G13" s="10" t="s">
        <v>34</v>
      </c>
      <c r="H13" s="11" t="str">
        <f aca="false">IF(G13="","Open","Paid")</f>
        <v>Paid</v>
      </c>
      <c r="I13" s="11" t="n">
        <f aca="false">IF(G13="","",DATEVALUE(G13)-DATEVALUE(C13))</f>
        <v>25</v>
      </c>
      <c r="J13" s="11" t="n">
        <f aca="true">IF(G13="",TODAY()-DATEVALUE(D13),DATEVALUE(G13)-DATEVALUE(D13))</f>
        <v>-20</v>
      </c>
      <c r="K13" s="11" t="str">
        <f aca="false">IF(J13&lt;=0,"Current",IF(J13&lt;=30,"1-30 days",IF(J13&lt;=60,"31-60 days",IF(J13&lt;=90,"61-90 days","90+ days"))))</f>
        <v>Current</v>
      </c>
    </row>
    <row r="14" customFormat="false" ht="15" hidden="false" customHeight="false" outlineLevel="0" collapsed="false">
      <c r="A14" s="10" t="s">
        <v>76</v>
      </c>
      <c r="B14" s="10" t="s">
        <v>77</v>
      </c>
      <c r="C14" s="10" t="s">
        <v>78</v>
      </c>
      <c r="D14" s="10" t="s">
        <v>79</v>
      </c>
      <c r="E14" s="10" t="n">
        <v>45</v>
      </c>
      <c r="F14" s="10" t="n">
        <v>2909.64</v>
      </c>
      <c r="G14" s="10" t="s">
        <v>80</v>
      </c>
      <c r="H14" s="11" t="str">
        <f aca="false">IF(G14="","Open","Paid")</f>
        <v>Paid</v>
      </c>
      <c r="I14" s="11" t="n">
        <f aca="false">IF(G14="","",DATEVALUE(G14)-DATEVALUE(C14))</f>
        <v>56</v>
      </c>
      <c r="J14" s="11" t="n">
        <f aca="true">IF(G14="",TODAY()-DATEVALUE(D14),DATEVALUE(G14)-DATEVALUE(D14))</f>
        <v>11</v>
      </c>
      <c r="K14" s="11" t="str">
        <f aca="false">IF(J14&lt;=0,"Current",IF(J14&lt;=30,"1-30 days",IF(J14&lt;=60,"31-60 days",IF(J14&lt;=90,"61-90 days","90+ days"))))</f>
        <v>1-30 days</v>
      </c>
    </row>
    <row r="15" customFormat="false" ht="15" hidden="false" customHeight="false" outlineLevel="0" collapsed="false">
      <c r="A15" s="10" t="s">
        <v>81</v>
      </c>
      <c r="B15" s="10" t="s">
        <v>82</v>
      </c>
      <c r="C15" s="10" t="s">
        <v>83</v>
      </c>
      <c r="D15" s="10" t="s">
        <v>84</v>
      </c>
      <c r="E15" s="10" t="n">
        <v>45</v>
      </c>
      <c r="F15" s="10" t="n">
        <v>3903.44</v>
      </c>
      <c r="G15" s="10" t="s">
        <v>85</v>
      </c>
      <c r="H15" s="11" t="str">
        <f aca="false">IF(G15="","Open","Paid")</f>
        <v>Paid</v>
      </c>
      <c r="I15" s="11" t="n">
        <f aca="false">IF(G15="","",DATEVALUE(G15)-DATEVALUE(C15))</f>
        <v>49</v>
      </c>
      <c r="J15" s="11" t="n">
        <f aca="true">IF(G15="",TODAY()-DATEVALUE(D15),DATEVALUE(G15)-DATEVALUE(D15))</f>
        <v>4</v>
      </c>
      <c r="K15" s="11" t="str">
        <f aca="false">IF(J15&lt;=0,"Current",IF(J15&lt;=30,"1-30 days",IF(J15&lt;=60,"31-60 days",IF(J15&lt;=90,"61-90 days","90+ days"))))</f>
        <v>1-30 days</v>
      </c>
    </row>
    <row r="16" customFormat="false" ht="15" hidden="false" customHeight="false" outlineLevel="0" collapsed="false">
      <c r="A16" s="10" t="s">
        <v>86</v>
      </c>
      <c r="B16" s="10" t="s">
        <v>87</v>
      </c>
      <c r="C16" s="10" t="s">
        <v>88</v>
      </c>
      <c r="D16" s="10" t="s">
        <v>89</v>
      </c>
      <c r="E16" s="10" t="n">
        <v>30</v>
      </c>
      <c r="F16" s="10" t="n">
        <v>12479.62</v>
      </c>
      <c r="G16" s="10" t="s">
        <v>90</v>
      </c>
      <c r="H16" s="11" t="str">
        <f aca="false">IF(G16="","Open","Paid")</f>
        <v>Paid</v>
      </c>
      <c r="I16" s="11" t="n">
        <f aca="false">IF(G16="","",DATEVALUE(G16)-DATEVALUE(C16))</f>
        <v>67</v>
      </c>
      <c r="J16" s="11" t="n">
        <f aca="true">IF(G16="",TODAY()-DATEVALUE(D16),DATEVALUE(G16)-DATEVALUE(D16))</f>
        <v>37</v>
      </c>
      <c r="K16" s="11" t="str">
        <f aca="false">IF(J16&lt;=0,"Current",IF(J16&lt;=30,"1-30 days",IF(J16&lt;=60,"31-60 days",IF(J16&lt;=90,"61-90 days","90+ days"))))</f>
        <v>31-60 days</v>
      </c>
    </row>
    <row r="17" customFormat="false" ht="15" hidden="false" customHeight="false" outlineLevel="0" collapsed="false">
      <c r="A17" s="10" t="s">
        <v>91</v>
      </c>
      <c r="B17" s="10" t="s">
        <v>92</v>
      </c>
      <c r="C17" s="10" t="s">
        <v>93</v>
      </c>
      <c r="D17" s="10" t="s">
        <v>94</v>
      </c>
      <c r="E17" s="10" t="n">
        <v>30</v>
      </c>
      <c r="F17" s="10" t="n">
        <v>12859.52</v>
      </c>
      <c r="G17" s="10" t="s">
        <v>95</v>
      </c>
      <c r="H17" s="11" t="str">
        <f aca="false">IF(G17="","Open","Paid")</f>
        <v>Paid</v>
      </c>
      <c r="I17" s="11" t="n">
        <f aca="false">IF(G17="","",DATEVALUE(G17)-DATEVALUE(C17))</f>
        <v>26</v>
      </c>
      <c r="J17" s="11" t="n">
        <f aca="true">IF(G17="",TODAY()-DATEVALUE(D17),DATEVALUE(G17)-DATEVALUE(D17))</f>
        <v>-4</v>
      </c>
      <c r="K17" s="11" t="str">
        <f aca="false">IF(J17&lt;=0,"Current",IF(J17&lt;=30,"1-30 days",IF(J17&lt;=60,"31-60 days",IF(J17&lt;=90,"61-90 days","90+ days"))))</f>
        <v>Current</v>
      </c>
    </row>
    <row r="18" customFormat="false" ht="15" hidden="false" customHeight="false" outlineLevel="0" collapsed="false">
      <c r="A18" s="10" t="s">
        <v>96</v>
      </c>
      <c r="B18" s="10" t="s">
        <v>97</v>
      </c>
      <c r="C18" s="10" t="s">
        <v>98</v>
      </c>
      <c r="D18" s="10" t="s">
        <v>99</v>
      </c>
      <c r="E18" s="10" t="n">
        <v>30</v>
      </c>
      <c r="F18" s="10" t="n">
        <v>12020.22</v>
      </c>
      <c r="G18" s="10" t="s">
        <v>100</v>
      </c>
      <c r="H18" s="11" t="str">
        <f aca="false">IF(G18="","Open","Paid")</f>
        <v>Paid</v>
      </c>
      <c r="I18" s="11" t="n">
        <f aca="false">IF(G18="","",DATEVALUE(G18)-DATEVALUE(C18))</f>
        <v>11</v>
      </c>
      <c r="J18" s="11" t="n">
        <f aca="true">IF(G18="",TODAY()-DATEVALUE(D18),DATEVALUE(G18)-DATEVALUE(D18))</f>
        <v>-19</v>
      </c>
      <c r="K18" s="11" t="str">
        <f aca="false">IF(J18&lt;=0,"Current",IF(J18&lt;=30,"1-30 days",IF(J18&lt;=60,"31-60 days",IF(J18&lt;=90,"61-90 days","90+ days"))))</f>
        <v>Current</v>
      </c>
    </row>
    <row r="19" customFormat="false" ht="15" hidden="false" customHeight="false" outlineLevel="0" collapsed="false">
      <c r="A19" s="10" t="s">
        <v>101</v>
      </c>
      <c r="B19" s="10" t="s">
        <v>102</v>
      </c>
      <c r="C19" s="10" t="s">
        <v>103</v>
      </c>
      <c r="D19" s="10" t="s">
        <v>104</v>
      </c>
      <c r="E19" s="10" t="n">
        <v>30</v>
      </c>
      <c r="F19" s="10" t="n">
        <v>5195.63</v>
      </c>
      <c r="G19" s="10"/>
      <c r="H19" s="11" t="str">
        <f aca="false">IF(G19="","Open","Paid")</f>
        <v>Open</v>
      </c>
      <c r="I19" s="11" t="str">
        <f aca="false">IF(G19="","",DATEVALUE(G19)-DATEVALUE(C19))</f>
        <v/>
      </c>
      <c r="J19" s="11" t="n">
        <f aca="true">IF(G19="",TODAY()-DATEVALUE(D19),DATEVALUE(G19)-DATEVALUE(D19))</f>
        <v>-4</v>
      </c>
      <c r="K19" s="11" t="str">
        <f aca="false">IF(J19&lt;=0,"Current",IF(J19&lt;=30,"1-30 days",IF(J19&lt;=60,"31-60 days",IF(J19&lt;=90,"61-90 days","90+ days"))))</f>
        <v>Current</v>
      </c>
    </row>
    <row r="20" customFormat="false" ht="15" hidden="false" customHeight="false" outlineLevel="0" collapsed="false">
      <c r="A20" s="10" t="s">
        <v>105</v>
      </c>
      <c r="B20" s="10" t="s">
        <v>106</v>
      </c>
      <c r="C20" s="10" t="s">
        <v>107</v>
      </c>
      <c r="D20" s="10" t="s">
        <v>108</v>
      </c>
      <c r="E20" s="10" t="n">
        <v>45</v>
      </c>
      <c r="F20" s="10" t="n">
        <v>21518.35</v>
      </c>
      <c r="G20" s="10" t="s">
        <v>109</v>
      </c>
      <c r="H20" s="11" t="str">
        <f aca="false">IF(G20="","Open","Paid")</f>
        <v>Paid</v>
      </c>
      <c r="I20" s="11" t="n">
        <f aca="false">IF(G20="","",DATEVALUE(G20)-DATEVALUE(C20))</f>
        <v>38</v>
      </c>
      <c r="J20" s="11" t="n">
        <f aca="true">IF(G20="",TODAY()-DATEVALUE(D20),DATEVALUE(G20)-DATEVALUE(D20))</f>
        <v>-7</v>
      </c>
      <c r="K20" s="11" t="str">
        <f aca="false">IF(J20&lt;=0,"Current",IF(J20&lt;=30,"1-30 days",IF(J20&lt;=60,"31-60 days",IF(J20&lt;=90,"61-90 days","90+ days"))))</f>
        <v>Current</v>
      </c>
    </row>
    <row r="21" customFormat="false" ht="15" hidden="false" customHeight="false" outlineLevel="0" collapsed="false">
      <c r="A21" s="10" t="s">
        <v>110</v>
      </c>
      <c r="B21" s="10" t="s">
        <v>23</v>
      </c>
      <c r="C21" s="10" t="s">
        <v>111</v>
      </c>
      <c r="D21" s="10" t="s">
        <v>112</v>
      </c>
      <c r="E21" s="10" t="n">
        <v>45</v>
      </c>
      <c r="F21" s="10" t="n">
        <v>3006.77</v>
      </c>
      <c r="G21" s="10" t="s">
        <v>31</v>
      </c>
      <c r="H21" s="11" t="str">
        <f aca="false">IF(G21="","Open","Paid")</f>
        <v>Paid</v>
      </c>
      <c r="I21" s="11" t="n">
        <f aca="false">IF(G21="","",DATEVALUE(G21)-DATEVALUE(C21))</f>
        <v>91</v>
      </c>
      <c r="J21" s="11" t="n">
        <f aca="true">IF(G21="",TODAY()-DATEVALUE(D21),DATEVALUE(G21)-DATEVALUE(D21))</f>
        <v>46</v>
      </c>
      <c r="K21" s="11" t="str">
        <f aca="false">IF(J21&lt;=0,"Current",IF(J21&lt;=30,"1-30 days",IF(J21&lt;=60,"31-60 days",IF(J21&lt;=90,"61-90 days","90+ days"))))</f>
        <v>31-60 days</v>
      </c>
    </row>
    <row r="22" customFormat="false" ht="15" hidden="false" customHeight="false" outlineLevel="0" collapsed="false">
      <c r="A22" s="10" t="s">
        <v>113</v>
      </c>
      <c r="B22" s="10" t="s">
        <v>114</v>
      </c>
      <c r="C22" s="10" t="s">
        <v>115</v>
      </c>
      <c r="D22" s="10" t="s">
        <v>116</v>
      </c>
      <c r="E22" s="10" t="n">
        <v>45</v>
      </c>
      <c r="F22" s="10" t="n">
        <v>3813.05</v>
      </c>
      <c r="G22" s="10" t="s">
        <v>117</v>
      </c>
      <c r="H22" s="11" t="str">
        <f aca="false">IF(G22="","Open","Paid")</f>
        <v>Paid</v>
      </c>
      <c r="I22" s="11" t="n">
        <f aca="false">IF(G22="","",DATEVALUE(G22)-DATEVALUE(C22))</f>
        <v>37</v>
      </c>
      <c r="J22" s="11" t="n">
        <f aca="true">IF(G22="",TODAY()-DATEVALUE(D22),DATEVALUE(G22)-DATEVALUE(D22))</f>
        <v>-8</v>
      </c>
      <c r="K22" s="11" t="str">
        <f aca="false">IF(J22&lt;=0,"Current",IF(J22&lt;=30,"1-30 days",IF(J22&lt;=60,"31-60 days",IF(J22&lt;=90,"61-90 days","90+ days"))))</f>
        <v>Current</v>
      </c>
    </row>
    <row r="23" customFormat="false" ht="15" hidden="false" customHeight="false" outlineLevel="0" collapsed="false">
      <c r="A23" s="10" t="s">
        <v>118</v>
      </c>
      <c r="B23" s="10" t="s">
        <v>119</v>
      </c>
      <c r="C23" s="10" t="s">
        <v>30</v>
      </c>
      <c r="D23" s="10" t="s">
        <v>120</v>
      </c>
      <c r="E23" s="10" t="n">
        <v>30</v>
      </c>
      <c r="F23" s="10" t="n">
        <v>7996.69</v>
      </c>
      <c r="G23" s="10" t="s">
        <v>121</v>
      </c>
      <c r="H23" s="11" t="str">
        <f aca="false">IF(G23="","Open","Paid")</f>
        <v>Paid</v>
      </c>
      <c r="I23" s="11" t="n">
        <f aca="false">IF(G23="","",DATEVALUE(G23)-DATEVALUE(C23))</f>
        <v>37</v>
      </c>
      <c r="J23" s="11" t="n">
        <f aca="true">IF(G23="",TODAY()-DATEVALUE(D23),DATEVALUE(G23)-DATEVALUE(D23))</f>
        <v>7</v>
      </c>
      <c r="K23" s="11" t="str">
        <f aca="false">IF(J23&lt;=0,"Current",IF(J23&lt;=30,"1-30 days",IF(J23&lt;=60,"31-60 days",IF(J23&lt;=90,"61-90 days","90+ days"))))</f>
        <v>1-30 days</v>
      </c>
    </row>
    <row r="24" customFormat="false" ht="15" hidden="false" customHeight="false" outlineLevel="0" collapsed="false">
      <c r="A24" s="10" t="s">
        <v>122</v>
      </c>
      <c r="B24" s="10" t="s">
        <v>123</v>
      </c>
      <c r="C24" s="10" t="s">
        <v>124</v>
      </c>
      <c r="D24" s="10" t="s">
        <v>125</v>
      </c>
      <c r="E24" s="10" t="n">
        <v>45</v>
      </c>
      <c r="F24" s="10" t="n">
        <v>5666.29</v>
      </c>
      <c r="G24" s="10" t="s">
        <v>126</v>
      </c>
      <c r="H24" s="11" t="str">
        <f aca="false">IF(G24="","Open","Paid")</f>
        <v>Paid</v>
      </c>
      <c r="I24" s="11" t="n">
        <f aca="false">IF(G24="","",DATEVALUE(G24)-DATEVALUE(C24))</f>
        <v>38</v>
      </c>
      <c r="J24" s="11" t="n">
        <f aca="true">IF(G24="",TODAY()-DATEVALUE(D24),DATEVALUE(G24)-DATEVALUE(D24))</f>
        <v>-7</v>
      </c>
      <c r="K24" s="11" t="str">
        <f aca="false">IF(J24&lt;=0,"Current",IF(J24&lt;=30,"1-30 days",IF(J24&lt;=60,"31-60 days",IF(J24&lt;=90,"61-90 days","90+ days"))))</f>
        <v>Current</v>
      </c>
    </row>
    <row r="25" customFormat="false" ht="15" hidden="false" customHeight="false" outlineLevel="0" collapsed="false">
      <c r="A25" s="10" t="s">
        <v>127</v>
      </c>
      <c r="B25" s="10" t="s">
        <v>33</v>
      </c>
      <c r="C25" s="10" t="s">
        <v>128</v>
      </c>
      <c r="D25" s="10" t="s">
        <v>129</v>
      </c>
      <c r="E25" s="10" t="n">
        <v>30</v>
      </c>
      <c r="F25" s="10" t="n">
        <v>5858.88</v>
      </c>
      <c r="G25" s="10" t="s">
        <v>130</v>
      </c>
      <c r="H25" s="11" t="str">
        <f aca="false">IF(G25="","Open","Paid")</f>
        <v>Paid</v>
      </c>
      <c r="I25" s="11" t="n">
        <f aca="false">IF(G25="","",DATEVALUE(G25)-DATEVALUE(C25))</f>
        <v>32</v>
      </c>
      <c r="J25" s="11" t="n">
        <f aca="true">IF(G25="",TODAY()-DATEVALUE(D25),DATEVALUE(G25)-DATEVALUE(D25))</f>
        <v>2</v>
      </c>
      <c r="K25" s="11" t="str">
        <f aca="false">IF(J25&lt;=0,"Current",IF(J25&lt;=30,"1-30 days",IF(J25&lt;=60,"31-60 days",IF(J25&lt;=90,"61-90 days","90+ days"))))</f>
        <v>1-30 days</v>
      </c>
    </row>
    <row r="26" customFormat="false" ht="15" hidden="false" customHeight="false" outlineLevel="0" collapsed="false">
      <c r="A26" s="10" t="s">
        <v>131</v>
      </c>
      <c r="B26" s="10" t="s">
        <v>132</v>
      </c>
      <c r="C26" s="10" t="s">
        <v>133</v>
      </c>
      <c r="D26" s="10" t="s">
        <v>39</v>
      </c>
      <c r="E26" s="10" t="n">
        <v>30</v>
      </c>
      <c r="F26" s="10" t="n">
        <v>2453.42</v>
      </c>
      <c r="G26" s="10" t="s">
        <v>134</v>
      </c>
      <c r="H26" s="11" t="str">
        <f aca="false">IF(G26="","Open","Paid")</f>
        <v>Paid</v>
      </c>
      <c r="I26" s="11" t="n">
        <f aca="false">IF(G26="","",DATEVALUE(G26)-DATEVALUE(C26))</f>
        <v>76</v>
      </c>
      <c r="J26" s="11" t="n">
        <f aca="true">IF(G26="",TODAY()-DATEVALUE(D26),DATEVALUE(G26)-DATEVALUE(D26))</f>
        <v>46</v>
      </c>
      <c r="K26" s="11" t="str">
        <f aca="false">IF(J26&lt;=0,"Current",IF(J26&lt;=30,"1-30 days",IF(J26&lt;=60,"31-60 days",IF(J26&lt;=90,"61-90 days","90+ days"))))</f>
        <v>31-60 days</v>
      </c>
    </row>
    <row r="27" customFormat="false" ht="15" hidden="false" customHeight="false" outlineLevel="0" collapsed="false">
      <c r="A27" s="10" t="s">
        <v>135</v>
      </c>
      <c r="B27" s="10" t="s">
        <v>38</v>
      </c>
      <c r="C27" s="10" t="s">
        <v>136</v>
      </c>
      <c r="D27" s="10" t="s">
        <v>137</v>
      </c>
      <c r="E27" s="10" t="n">
        <v>45</v>
      </c>
      <c r="F27" s="10" t="n">
        <v>4630.35</v>
      </c>
      <c r="G27" s="10" t="s">
        <v>62</v>
      </c>
      <c r="H27" s="11" t="str">
        <f aca="false">IF(G27="","Open","Paid")</f>
        <v>Paid</v>
      </c>
      <c r="I27" s="11" t="n">
        <f aca="false">IF(G27="","",DATEVALUE(G27)-DATEVALUE(C27))</f>
        <v>55</v>
      </c>
      <c r="J27" s="11" t="n">
        <f aca="true">IF(G27="",TODAY()-DATEVALUE(D27),DATEVALUE(G27)-DATEVALUE(D27))</f>
        <v>10</v>
      </c>
      <c r="K27" s="11" t="str">
        <f aca="false">IF(J27&lt;=0,"Current",IF(J27&lt;=30,"1-30 days",IF(J27&lt;=60,"31-60 days",IF(J27&lt;=90,"61-90 days","90+ days"))))</f>
        <v>1-30 days</v>
      </c>
    </row>
    <row r="28" customFormat="false" ht="15" hidden="false" customHeight="false" outlineLevel="0" collapsed="false">
      <c r="A28" s="10" t="s">
        <v>138</v>
      </c>
      <c r="B28" s="10" t="s">
        <v>139</v>
      </c>
      <c r="C28" s="10" t="s">
        <v>140</v>
      </c>
      <c r="D28" s="10" t="s">
        <v>141</v>
      </c>
      <c r="E28" s="10" t="n">
        <v>60</v>
      </c>
      <c r="F28" s="10" t="n">
        <v>3036.47</v>
      </c>
      <c r="G28" s="10" t="s">
        <v>142</v>
      </c>
      <c r="H28" s="11" t="str">
        <f aca="false">IF(G28="","Open","Paid")</f>
        <v>Paid</v>
      </c>
      <c r="I28" s="11" t="n">
        <f aca="false">IF(G28="","",DATEVALUE(G28)-DATEVALUE(C28))</f>
        <v>53</v>
      </c>
      <c r="J28" s="11" t="n">
        <f aca="true">IF(G28="",TODAY()-DATEVALUE(D28),DATEVALUE(G28)-DATEVALUE(D28))</f>
        <v>-7</v>
      </c>
      <c r="K28" s="11" t="str">
        <f aca="false">IF(J28&lt;=0,"Current",IF(J28&lt;=30,"1-30 days",IF(J28&lt;=60,"31-60 days",IF(J28&lt;=90,"61-90 days","90+ days"))))</f>
        <v>Current</v>
      </c>
    </row>
    <row r="29" customFormat="false" ht="15" hidden="false" customHeight="false" outlineLevel="0" collapsed="false">
      <c r="A29" s="10" t="s">
        <v>143</v>
      </c>
      <c r="B29" s="10" t="s">
        <v>144</v>
      </c>
      <c r="C29" s="10" t="s">
        <v>62</v>
      </c>
      <c r="D29" s="10" t="s">
        <v>145</v>
      </c>
      <c r="E29" s="10" t="n">
        <v>45</v>
      </c>
      <c r="F29" s="10" t="n">
        <v>1836.98</v>
      </c>
      <c r="G29" s="10"/>
      <c r="H29" s="11" t="str">
        <f aca="false">IF(G29="","Open","Paid")</f>
        <v>Open</v>
      </c>
      <c r="I29" s="11" t="str">
        <f aca="false">IF(G29="","",DATEVALUE(G29)-DATEVALUE(C29))</f>
        <v/>
      </c>
      <c r="J29" s="11" t="n">
        <f aca="true">IF(G29="",TODAY()-DATEVALUE(D29),DATEVALUE(G29)-DATEVALUE(D29))</f>
        <v>-27</v>
      </c>
      <c r="K29" s="11" t="str">
        <f aca="false">IF(J29&lt;=0,"Current",IF(J29&lt;=30,"1-30 days",IF(J29&lt;=60,"31-60 days",IF(J29&lt;=90,"61-90 days","90+ days"))))</f>
        <v>Current</v>
      </c>
    </row>
    <row r="30" customFormat="false" ht="15" hidden="false" customHeight="false" outlineLevel="0" collapsed="false">
      <c r="A30" s="10" t="s">
        <v>146</v>
      </c>
      <c r="B30" s="10" t="s">
        <v>147</v>
      </c>
      <c r="C30" s="10" t="s">
        <v>95</v>
      </c>
      <c r="D30" s="10" t="s">
        <v>148</v>
      </c>
      <c r="E30" s="10" t="n">
        <v>30</v>
      </c>
      <c r="F30" s="10" t="n">
        <v>3277.91</v>
      </c>
      <c r="G30" s="10" t="s">
        <v>149</v>
      </c>
      <c r="H30" s="11" t="str">
        <f aca="false">IF(G30="","Open","Paid")</f>
        <v>Paid</v>
      </c>
      <c r="I30" s="11" t="n">
        <f aca="false">IF(G30="","",DATEVALUE(G30)-DATEVALUE(C30))</f>
        <v>13</v>
      </c>
      <c r="J30" s="11" t="n">
        <f aca="true">IF(G30="",TODAY()-DATEVALUE(D30),DATEVALUE(G30)-DATEVALUE(D30))</f>
        <v>-17</v>
      </c>
      <c r="K30" s="11" t="str">
        <f aca="false">IF(J30&lt;=0,"Current",IF(J30&lt;=30,"1-30 days",IF(J30&lt;=60,"31-60 days",IF(J30&lt;=90,"61-90 days","90+ days"))))</f>
        <v>Current</v>
      </c>
    </row>
    <row r="31" customFormat="false" ht="15" hidden="false" customHeight="false" outlineLevel="0" collapsed="false">
      <c r="A31" s="10" t="s">
        <v>150</v>
      </c>
      <c r="B31" s="10" t="s">
        <v>151</v>
      </c>
      <c r="C31" s="10" t="s">
        <v>152</v>
      </c>
      <c r="D31" s="10" t="s">
        <v>153</v>
      </c>
      <c r="E31" s="10" t="n">
        <v>45</v>
      </c>
      <c r="F31" s="10" t="n">
        <v>5667.23</v>
      </c>
      <c r="G31" s="10" t="s">
        <v>154</v>
      </c>
      <c r="H31" s="11" t="str">
        <f aca="false">IF(G31="","Open","Paid")</f>
        <v>Paid</v>
      </c>
      <c r="I31" s="11" t="n">
        <f aca="false">IF(G31="","",DATEVALUE(G31)-DATEVALUE(C31))</f>
        <v>38</v>
      </c>
      <c r="J31" s="11" t="n">
        <f aca="true">IF(G31="",TODAY()-DATEVALUE(D31),DATEVALUE(G31)-DATEVALUE(D31))</f>
        <v>-7</v>
      </c>
      <c r="K31" s="11" t="str">
        <f aca="false">IF(J31&lt;=0,"Current",IF(J31&lt;=30,"1-30 days",IF(J31&lt;=60,"31-60 days",IF(J31&lt;=90,"61-90 days","90+ days"))))</f>
        <v>Current</v>
      </c>
    </row>
    <row r="32" customFormat="false" ht="15" hidden="false" customHeight="false" outlineLevel="0" collapsed="false">
      <c r="A32" s="10" t="s">
        <v>155</v>
      </c>
      <c r="B32" s="10" t="s">
        <v>156</v>
      </c>
      <c r="C32" s="10" t="s">
        <v>157</v>
      </c>
      <c r="D32" s="10" t="s">
        <v>57</v>
      </c>
      <c r="E32" s="10" t="n">
        <v>30</v>
      </c>
      <c r="F32" s="10" t="n">
        <v>7259.21</v>
      </c>
      <c r="G32" s="10" t="s">
        <v>108</v>
      </c>
      <c r="H32" s="11" t="str">
        <f aca="false">IF(G32="","Open","Paid")</f>
        <v>Paid</v>
      </c>
      <c r="I32" s="11" t="n">
        <f aca="false">IF(G32="","",DATEVALUE(G32)-DATEVALUE(C32))</f>
        <v>15</v>
      </c>
      <c r="J32" s="11" t="n">
        <f aca="true">IF(G32="",TODAY()-DATEVALUE(D32),DATEVALUE(G32)-DATEVALUE(D32))</f>
        <v>-15</v>
      </c>
      <c r="K32" s="11" t="str">
        <f aca="false">IF(J32&lt;=0,"Current",IF(J32&lt;=30,"1-30 days",IF(J32&lt;=60,"31-60 days",IF(J32&lt;=90,"61-90 days","90+ days"))))</f>
        <v>Current</v>
      </c>
    </row>
    <row r="33" customFormat="false" ht="15" hidden="false" customHeight="false" outlineLevel="0" collapsed="false">
      <c r="A33" s="10" t="s">
        <v>158</v>
      </c>
      <c r="B33" s="10" t="s">
        <v>156</v>
      </c>
      <c r="C33" s="10" t="s">
        <v>159</v>
      </c>
      <c r="D33" s="10" t="s">
        <v>160</v>
      </c>
      <c r="E33" s="10" t="n">
        <v>45</v>
      </c>
      <c r="F33" s="10" t="n">
        <v>1110.04</v>
      </c>
      <c r="G33" s="10" t="s">
        <v>161</v>
      </c>
      <c r="H33" s="11" t="str">
        <f aca="false">IF(G33="","Open","Paid")</f>
        <v>Paid</v>
      </c>
      <c r="I33" s="11" t="n">
        <f aca="false">IF(G33="","",DATEVALUE(G33)-DATEVALUE(C33))</f>
        <v>49</v>
      </c>
      <c r="J33" s="11" t="n">
        <f aca="true">IF(G33="",TODAY()-DATEVALUE(D33),DATEVALUE(G33)-DATEVALUE(D33))</f>
        <v>4</v>
      </c>
      <c r="K33" s="11" t="str">
        <f aca="false">IF(J33&lt;=0,"Current",IF(J33&lt;=30,"1-30 days",IF(J33&lt;=60,"31-60 days",IF(J33&lt;=90,"61-90 days","90+ days"))))</f>
        <v>1-30 days</v>
      </c>
    </row>
    <row r="34" customFormat="false" ht="15" hidden="false" customHeight="false" outlineLevel="0" collapsed="false">
      <c r="A34" s="10" t="s">
        <v>162</v>
      </c>
      <c r="B34" s="10" t="s">
        <v>163</v>
      </c>
      <c r="C34" s="10" t="s">
        <v>66</v>
      </c>
      <c r="D34" s="10" t="s">
        <v>164</v>
      </c>
      <c r="E34" s="10" t="n">
        <v>45</v>
      </c>
      <c r="F34" s="10" t="n">
        <v>4763.88</v>
      </c>
      <c r="G34" s="10" t="s">
        <v>165</v>
      </c>
      <c r="H34" s="11" t="str">
        <f aca="false">IF(G34="","Open","Paid")</f>
        <v>Paid</v>
      </c>
      <c r="I34" s="11" t="n">
        <f aca="false">IF(G34="","",DATEVALUE(G34)-DATEVALUE(C34))</f>
        <v>39</v>
      </c>
      <c r="J34" s="11" t="n">
        <f aca="true">IF(G34="",TODAY()-DATEVALUE(D34),DATEVALUE(G34)-DATEVALUE(D34))</f>
        <v>-6</v>
      </c>
      <c r="K34" s="11" t="str">
        <f aca="false">IF(J34&lt;=0,"Current",IF(J34&lt;=30,"1-30 days",IF(J34&lt;=60,"31-60 days",IF(J34&lt;=90,"61-90 days","90+ days"))))</f>
        <v>Current</v>
      </c>
    </row>
    <row r="35" customFormat="false" ht="15" hidden="false" customHeight="false" outlineLevel="0" collapsed="false">
      <c r="A35" s="10" t="s">
        <v>166</v>
      </c>
      <c r="B35" s="10" t="s">
        <v>167</v>
      </c>
      <c r="C35" s="10" t="s">
        <v>69</v>
      </c>
      <c r="D35" s="10" t="s">
        <v>168</v>
      </c>
      <c r="E35" s="10" t="n">
        <v>30</v>
      </c>
      <c r="F35" s="10" t="n">
        <v>4502.38</v>
      </c>
      <c r="G35" s="10" t="s">
        <v>169</v>
      </c>
      <c r="H35" s="11" t="str">
        <f aca="false">IF(G35="","Open","Paid")</f>
        <v>Paid</v>
      </c>
      <c r="I35" s="11" t="n">
        <f aca="false">IF(G35="","",DATEVALUE(G35)-DATEVALUE(C35))</f>
        <v>58</v>
      </c>
      <c r="J35" s="11" t="n">
        <f aca="true">IF(G35="",TODAY()-DATEVALUE(D35),DATEVALUE(G35)-DATEVALUE(D35))</f>
        <v>28</v>
      </c>
      <c r="K35" s="11" t="str">
        <f aca="false">IF(J35&lt;=0,"Current",IF(J35&lt;=30,"1-30 days",IF(J35&lt;=60,"31-60 days",IF(J35&lt;=90,"61-90 days","90+ days"))))</f>
        <v>1-30 days</v>
      </c>
    </row>
    <row r="36" customFormat="false" ht="15" hidden="false" customHeight="false" outlineLevel="0" collapsed="false">
      <c r="A36" s="10" t="s">
        <v>170</v>
      </c>
      <c r="B36" s="10" t="s">
        <v>171</v>
      </c>
      <c r="C36" s="10" t="s">
        <v>172</v>
      </c>
      <c r="D36" s="10" t="s">
        <v>173</v>
      </c>
      <c r="E36" s="10" t="n">
        <v>30</v>
      </c>
      <c r="F36" s="10" t="n">
        <v>5494</v>
      </c>
      <c r="G36" s="10" t="s">
        <v>88</v>
      </c>
      <c r="H36" s="11" t="str">
        <f aca="false">IF(G36="","Open","Paid")</f>
        <v>Paid</v>
      </c>
      <c r="I36" s="11" t="n">
        <f aca="false">IF(G36="","",DATEVALUE(G36)-DATEVALUE(C36))</f>
        <v>9</v>
      </c>
      <c r="J36" s="11" t="n">
        <f aca="true">IF(G36="",TODAY()-DATEVALUE(D36),DATEVALUE(G36)-DATEVALUE(D36))</f>
        <v>-21</v>
      </c>
      <c r="K36" s="11" t="str">
        <f aca="false">IF(J36&lt;=0,"Current",IF(J36&lt;=30,"1-30 days",IF(J36&lt;=60,"31-60 days",IF(J36&lt;=90,"61-90 days","90+ days"))))</f>
        <v>Current</v>
      </c>
    </row>
    <row r="37" customFormat="false" ht="15" hidden="false" customHeight="false" outlineLevel="0" collapsed="false">
      <c r="A37" s="10" t="s">
        <v>174</v>
      </c>
      <c r="B37" s="10" t="s">
        <v>175</v>
      </c>
      <c r="C37" s="10" t="s">
        <v>176</v>
      </c>
      <c r="D37" s="10" t="s">
        <v>177</v>
      </c>
      <c r="E37" s="10" t="n">
        <v>30</v>
      </c>
      <c r="F37" s="10" t="n">
        <v>2218.76</v>
      </c>
      <c r="G37" s="10" t="s">
        <v>178</v>
      </c>
      <c r="H37" s="11" t="str">
        <f aca="false">IF(G37="","Open","Paid")</f>
        <v>Paid</v>
      </c>
      <c r="I37" s="11" t="n">
        <f aca="false">IF(G37="","",DATEVALUE(G37)-DATEVALUE(C37))</f>
        <v>32</v>
      </c>
      <c r="J37" s="11" t="n">
        <f aca="true">IF(G37="",TODAY()-DATEVALUE(D37),DATEVALUE(G37)-DATEVALUE(D37))</f>
        <v>2</v>
      </c>
      <c r="K37" s="11" t="str">
        <f aca="false">IF(J37&lt;=0,"Current",IF(J37&lt;=30,"1-30 days",IF(J37&lt;=60,"31-60 days",IF(J37&lt;=90,"61-90 days","90+ days"))))</f>
        <v>1-30 days</v>
      </c>
    </row>
    <row r="38" customFormat="false" ht="15" hidden="false" customHeight="false" outlineLevel="0" collapsed="false">
      <c r="A38" s="10" t="s">
        <v>179</v>
      </c>
      <c r="B38" s="10" t="s">
        <v>180</v>
      </c>
      <c r="C38" s="10" t="s">
        <v>181</v>
      </c>
      <c r="D38" s="10" t="s">
        <v>182</v>
      </c>
      <c r="E38" s="10" t="n">
        <v>60</v>
      </c>
      <c r="F38" s="10" t="n">
        <v>2250.16</v>
      </c>
      <c r="G38" s="10" t="s">
        <v>183</v>
      </c>
      <c r="H38" s="11" t="str">
        <f aca="false">IF(G38="","Open","Paid")</f>
        <v>Paid</v>
      </c>
      <c r="I38" s="11" t="n">
        <f aca="false">IF(G38="","",DATEVALUE(G38)-DATEVALUE(C38))</f>
        <v>46</v>
      </c>
      <c r="J38" s="11" t="n">
        <f aca="true">IF(G38="",TODAY()-DATEVALUE(D38),DATEVALUE(G38)-DATEVALUE(D38))</f>
        <v>-14</v>
      </c>
      <c r="K38" s="11" t="str">
        <f aca="false">IF(J38&lt;=0,"Current",IF(J38&lt;=30,"1-30 days",IF(J38&lt;=60,"31-60 days",IF(J38&lt;=90,"61-90 days","90+ days"))))</f>
        <v>Current</v>
      </c>
    </row>
    <row r="39" customFormat="false" ht="15" hidden="false" customHeight="false" outlineLevel="0" collapsed="false">
      <c r="A39" s="10" t="s">
        <v>184</v>
      </c>
      <c r="B39" s="10" t="s">
        <v>185</v>
      </c>
      <c r="C39" s="10" t="s">
        <v>186</v>
      </c>
      <c r="D39" s="10" t="s">
        <v>187</v>
      </c>
      <c r="E39" s="10" t="n">
        <v>30</v>
      </c>
      <c r="F39" s="10" t="n">
        <v>9468.09</v>
      </c>
      <c r="G39" s="10" t="s">
        <v>188</v>
      </c>
      <c r="H39" s="11" t="str">
        <f aca="false">IF(G39="","Open","Paid")</f>
        <v>Paid</v>
      </c>
      <c r="I39" s="11" t="n">
        <f aca="false">IF(G39="","",DATEVALUE(G39)-DATEVALUE(C39))</f>
        <v>24</v>
      </c>
      <c r="J39" s="11" t="n">
        <f aca="true">IF(G39="",TODAY()-DATEVALUE(D39),DATEVALUE(G39)-DATEVALUE(D39))</f>
        <v>-6</v>
      </c>
      <c r="K39" s="11" t="str">
        <f aca="false">IF(J39&lt;=0,"Current",IF(J39&lt;=30,"1-30 days",IF(J39&lt;=60,"31-60 days",IF(J39&lt;=90,"61-90 days","90+ days"))))</f>
        <v>Current</v>
      </c>
    </row>
    <row r="40" customFormat="false" ht="15" hidden="false" customHeight="false" outlineLevel="0" collapsed="false">
      <c r="A40" s="10" t="s">
        <v>189</v>
      </c>
      <c r="B40" s="10" t="s">
        <v>114</v>
      </c>
      <c r="C40" s="10" t="s">
        <v>93</v>
      </c>
      <c r="D40" s="10" t="s">
        <v>190</v>
      </c>
      <c r="E40" s="10" t="n">
        <v>45</v>
      </c>
      <c r="F40" s="10" t="n">
        <v>2744.15</v>
      </c>
      <c r="G40" s="10" t="s">
        <v>178</v>
      </c>
      <c r="H40" s="11" t="str">
        <f aca="false">IF(G40="","Open","Paid")</f>
        <v>Paid</v>
      </c>
      <c r="I40" s="11" t="n">
        <f aca="false">IF(G40="","",DATEVALUE(G40)-DATEVALUE(C40))</f>
        <v>46</v>
      </c>
      <c r="J40" s="11" t="n">
        <f aca="true">IF(G40="",TODAY()-DATEVALUE(D40),DATEVALUE(G40)-DATEVALUE(D40))</f>
        <v>1</v>
      </c>
      <c r="K40" s="11" t="str">
        <f aca="false">IF(J40&lt;=0,"Current",IF(J40&lt;=30,"1-30 days",IF(J40&lt;=60,"31-60 days",IF(J40&lt;=90,"61-90 days","90+ days"))))</f>
        <v>1-30 days</v>
      </c>
    </row>
    <row r="41" customFormat="false" ht="15" hidden="false" customHeight="false" outlineLevel="0" collapsed="false">
      <c r="A41" s="10" t="s">
        <v>191</v>
      </c>
      <c r="B41" s="10" t="s">
        <v>33</v>
      </c>
      <c r="C41" s="10" t="s">
        <v>192</v>
      </c>
      <c r="D41" s="10" t="s">
        <v>193</v>
      </c>
      <c r="E41" s="10" t="n">
        <v>45</v>
      </c>
      <c r="F41" s="10" t="n">
        <v>3696.88</v>
      </c>
      <c r="G41" s="10" t="s">
        <v>194</v>
      </c>
      <c r="H41" s="11" t="str">
        <f aca="false">IF(G41="","Open","Paid")</f>
        <v>Paid</v>
      </c>
      <c r="I41" s="11" t="n">
        <f aca="false">IF(G41="","",DATEVALUE(G41)-DATEVALUE(C41))</f>
        <v>17</v>
      </c>
      <c r="J41" s="11" t="n">
        <f aca="true">IF(G41="",TODAY()-DATEVALUE(D41),DATEVALUE(G41)-DATEVALUE(D41))</f>
        <v>-28</v>
      </c>
      <c r="K41" s="11" t="str">
        <f aca="false">IF(J41&lt;=0,"Current",IF(J41&lt;=30,"1-30 days",IF(J41&lt;=60,"31-60 days",IF(J41&lt;=90,"61-90 days","90+ days"))))</f>
        <v>Current</v>
      </c>
    </row>
    <row r="42" customFormat="false" ht="15" hidden="false" customHeight="false" outlineLevel="0" collapsed="false">
      <c r="A42" s="10" t="s">
        <v>195</v>
      </c>
      <c r="B42" s="10" t="s">
        <v>147</v>
      </c>
      <c r="C42" s="10" t="s">
        <v>29</v>
      </c>
      <c r="D42" s="10" t="s">
        <v>30</v>
      </c>
      <c r="E42" s="10" t="n">
        <v>30</v>
      </c>
      <c r="F42" s="10" t="n">
        <v>3940.73</v>
      </c>
      <c r="G42" s="10" t="s">
        <v>196</v>
      </c>
      <c r="H42" s="11" t="str">
        <f aca="false">IF(G42="","Open","Paid")</f>
        <v>Paid</v>
      </c>
      <c r="I42" s="11" t="n">
        <f aca="false">IF(G42="","",DATEVALUE(G42)-DATEVALUE(C42))</f>
        <v>32</v>
      </c>
      <c r="J42" s="11" t="n">
        <f aca="true">IF(G42="",TODAY()-DATEVALUE(D42),DATEVALUE(G42)-DATEVALUE(D42))</f>
        <v>2</v>
      </c>
      <c r="K42" s="11" t="str">
        <f aca="false">IF(J42&lt;=0,"Current",IF(J42&lt;=30,"1-30 days",IF(J42&lt;=60,"31-60 days",IF(J42&lt;=90,"61-90 days","90+ days"))))</f>
        <v>1-30 days</v>
      </c>
    </row>
    <row r="43" customFormat="false" ht="15" hidden="false" customHeight="false" outlineLevel="0" collapsed="false">
      <c r="A43" s="10" t="s">
        <v>197</v>
      </c>
      <c r="B43" s="10" t="s">
        <v>144</v>
      </c>
      <c r="C43" s="10" t="s">
        <v>161</v>
      </c>
      <c r="D43" s="10" t="s">
        <v>198</v>
      </c>
      <c r="E43" s="10" t="n">
        <v>30</v>
      </c>
      <c r="F43" s="10" t="n">
        <v>3074.51</v>
      </c>
      <c r="G43" s="10" t="s">
        <v>199</v>
      </c>
      <c r="H43" s="11" t="str">
        <f aca="false">IF(G43="","Open","Paid")</f>
        <v>Paid</v>
      </c>
      <c r="I43" s="11" t="n">
        <f aca="false">IF(G43="","",DATEVALUE(G43)-DATEVALUE(C43))</f>
        <v>52</v>
      </c>
      <c r="J43" s="11" t="n">
        <f aca="true">IF(G43="",TODAY()-DATEVALUE(D43),DATEVALUE(G43)-DATEVALUE(D43))</f>
        <v>22</v>
      </c>
      <c r="K43" s="11" t="str">
        <f aca="false">IF(J43&lt;=0,"Current",IF(J43&lt;=30,"1-30 days",IF(J43&lt;=60,"31-60 days",IF(J43&lt;=90,"61-90 days","90+ days"))))</f>
        <v>1-30 days</v>
      </c>
    </row>
    <row r="44" customFormat="false" ht="15" hidden="false" customHeight="false" outlineLevel="0" collapsed="false">
      <c r="A44" s="10" t="s">
        <v>200</v>
      </c>
      <c r="B44" s="10" t="s">
        <v>46</v>
      </c>
      <c r="C44" s="10" t="s">
        <v>84</v>
      </c>
      <c r="D44" s="10" t="s">
        <v>201</v>
      </c>
      <c r="E44" s="10" t="n">
        <v>60</v>
      </c>
      <c r="F44" s="10" t="n">
        <v>6349.68</v>
      </c>
      <c r="G44" s="10" t="s">
        <v>202</v>
      </c>
      <c r="H44" s="11" t="str">
        <f aca="false">IF(G44="","Open","Paid")</f>
        <v>Paid</v>
      </c>
      <c r="I44" s="11" t="n">
        <f aca="false">IF(G44="","",DATEVALUE(G44)-DATEVALUE(C44))</f>
        <v>54</v>
      </c>
      <c r="J44" s="11" t="n">
        <f aca="true">IF(G44="",TODAY()-DATEVALUE(D44),DATEVALUE(G44)-DATEVALUE(D44))</f>
        <v>-6</v>
      </c>
      <c r="K44" s="11" t="str">
        <f aca="false">IF(J44&lt;=0,"Current",IF(J44&lt;=30,"1-30 days",IF(J44&lt;=60,"31-60 days",IF(J44&lt;=90,"61-90 days","90+ days"))))</f>
        <v>Current</v>
      </c>
    </row>
    <row r="45" customFormat="false" ht="15" hidden="false" customHeight="false" outlineLevel="0" collapsed="false">
      <c r="A45" s="10" t="s">
        <v>203</v>
      </c>
      <c r="B45" s="10" t="s">
        <v>139</v>
      </c>
      <c r="C45" s="10" t="s">
        <v>67</v>
      </c>
      <c r="D45" s="10" t="s">
        <v>204</v>
      </c>
      <c r="E45" s="10" t="n">
        <v>30</v>
      </c>
      <c r="F45" s="10" t="n">
        <v>6038.99</v>
      </c>
      <c r="G45" s="10" t="s">
        <v>205</v>
      </c>
      <c r="H45" s="11" t="str">
        <f aca="false">IF(G45="","Open","Paid")</f>
        <v>Paid</v>
      </c>
      <c r="I45" s="11" t="n">
        <f aca="false">IF(G45="","",DATEVALUE(G45)-DATEVALUE(C45))</f>
        <v>33</v>
      </c>
      <c r="J45" s="11" t="n">
        <f aca="true">IF(G45="",TODAY()-DATEVALUE(D45),DATEVALUE(G45)-DATEVALUE(D45))</f>
        <v>3</v>
      </c>
      <c r="K45" s="11" t="str">
        <f aca="false">IF(J45&lt;=0,"Current",IF(J45&lt;=30,"1-30 days",IF(J45&lt;=60,"31-60 days",IF(J45&lt;=90,"61-90 days","90+ days"))))</f>
        <v>1-30 days</v>
      </c>
    </row>
    <row r="46" customFormat="false" ht="15" hidden="false" customHeight="false" outlineLevel="0" collapsed="false">
      <c r="A46" s="10" t="s">
        <v>206</v>
      </c>
      <c r="B46" s="10" t="s">
        <v>171</v>
      </c>
      <c r="C46" s="10" t="s">
        <v>207</v>
      </c>
      <c r="D46" s="10" t="s">
        <v>208</v>
      </c>
      <c r="E46" s="10" t="n">
        <v>30</v>
      </c>
      <c r="F46" s="10" t="n">
        <v>4379.52</v>
      </c>
      <c r="G46" s="10" t="s">
        <v>209</v>
      </c>
      <c r="H46" s="11" t="str">
        <f aca="false">IF(G46="","Open","Paid")</f>
        <v>Paid</v>
      </c>
      <c r="I46" s="11" t="n">
        <f aca="false">IF(G46="","",DATEVALUE(G46)-DATEVALUE(C46))</f>
        <v>42</v>
      </c>
      <c r="J46" s="11" t="n">
        <f aca="true">IF(G46="",TODAY()-DATEVALUE(D46),DATEVALUE(G46)-DATEVALUE(D46))</f>
        <v>12</v>
      </c>
      <c r="K46" s="11" t="str">
        <f aca="false">IF(J46&lt;=0,"Current",IF(J46&lt;=30,"1-30 days",IF(J46&lt;=60,"31-60 days",IF(J46&lt;=90,"61-90 days","90+ days"))))</f>
        <v>1-30 days</v>
      </c>
    </row>
    <row r="47" customFormat="false" ht="15" hidden="false" customHeight="false" outlineLevel="0" collapsed="false">
      <c r="A47" s="10" t="s">
        <v>210</v>
      </c>
      <c r="B47" s="10" t="s">
        <v>132</v>
      </c>
      <c r="C47" s="10" t="s">
        <v>75</v>
      </c>
      <c r="D47" s="10" t="s">
        <v>52</v>
      </c>
      <c r="E47" s="10" t="n">
        <v>45</v>
      </c>
      <c r="F47" s="10" t="n">
        <v>3193.54</v>
      </c>
      <c r="G47" s="10" t="s">
        <v>53</v>
      </c>
      <c r="H47" s="11" t="str">
        <f aca="false">IF(G47="","Open","Paid")</f>
        <v>Paid</v>
      </c>
      <c r="I47" s="11" t="n">
        <f aca="false">IF(G47="","",DATEVALUE(G47)-DATEVALUE(C47))</f>
        <v>43</v>
      </c>
      <c r="J47" s="11" t="n">
        <f aca="true">IF(G47="",TODAY()-DATEVALUE(D47),DATEVALUE(G47)-DATEVALUE(D47))</f>
        <v>-2</v>
      </c>
      <c r="K47" s="11" t="str">
        <f aca="false">IF(J47&lt;=0,"Current",IF(J47&lt;=30,"1-30 days",IF(J47&lt;=60,"31-60 days",IF(J47&lt;=90,"61-90 days","90+ days"))))</f>
        <v>Current</v>
      </c>
    </row>
    <row r="48" customFormat="false" ht="15" hidden="false" customHeight="false" outlineLevel="0" collapsed="false">
      <c r="A48" s="10" t="s">
        <v>211</v>
      </c>
      <c r="B48" s="10" t="s">
        <v>212</v>
      </c>
      <c r="C48" s="10" t="s">
        <v>213</v>
      </c>
      <c r="D48" s="10" t="s">
        <v>214</v>
      </c>
      <c r="E48" s="10" t="n">
        <v>45</v>
      </c>
      <c r="F48" s="10" t="n">
        <v>4167.39</v>
      </c>
      <c r="G48" s="10" t="s">
        <v>215</v>
      </c>
      <c r="H48" s="11" t="str">
        <f aca="false">IF(G48="","Open","Paid")</f>
        <v>Paid</v>
      </c>
      <c r="I48" s="11" t="n">
        <f aca="false">IF(G48="","",DATEVALUE(G48)-DATEVALUE(C48))</f>
        <v>38</v>
      </c>
      <c r="J48" s="11" t="n">
        <f aca="true">IF(G48="",TODAY()-DATEVALUE(D48),DATEVALUE(G48)-DATEVALUE(D48))</f>
        <v>-7</v>
      </c>
      <c r="K48" s="11" t="str">
        <f aca="false">IF(J48&lt;=0,"Current",IF(J48&lt;=30,"1-30 days",IF(J48&lt;=60,"31-60 days",IF(J48&lt;=90,"61-90 days","90+ days"))))</f>
        <v>Current</v>
      </c>
    </row>
    <row r="49" customFormat="false" ht="15" hidden="false" customHeight="false" outlineLevel="0" collapsed="false">
      <c r="A49" s="10" t="s">
        <v>216</v>
      </c>
      <c r="B49" s="10" t="s">
        <v>217</v>
      </c>
      <c r="C49" s="10" t="s">
        <v>168</v>
      </c>
      <c r="D49" s="10" t="s">
        <v>218</v>
      </c>
      <c r="E49" s="10" t="n">
        <v>60</v>
      </c>
      <c r="F49" s="10" t="n">
        <v>5008.47</v>
      </c>
      <c r="G49" s="10" t="s">
        <v>219</v>
      </c>
      <c r="H49" s="11" t="str">
        <f aca="false">IF(G49="","Open","Paid")</f>
        <v>Paid</v>
      </c>
      <c r="I49" s="11" t="n">
        <f aca="false">IF(G49="","",DATEVALUE(G49)-DATEVALUE(C49))</f>
        <v>32</v>
      </c>
      <c r="J49" s="11" t="n">
        <f aca="true">IF(G49="",TODAY()-DATEVALUE(D49),DATEVALUE(G49)-DATEVALUE(D49))</f>
        <v>-28</v>
      </c>
      <c r="K49" s="11" t="str">
        <f aca="false">IF(J49&lt;=0,"Current",IF(J49&lt;=30,"1-30 days",IF(J49&lt;=60,"31-60 days",IF(J49&lt;=90,"61-90 days","90+ days"))))</f>
        <v>Current</v>
      </c>
    </row>
    <row r="50" customFormat="false" ht="15" hidden="false" customHeight="false" outlineLevel="0" collapsed="false">
      <c r="A50" s="10" t="s">
        <v>220</v>
      </c>
      <c r="B50" s="10" t="s">
        <v>221</v>
      </c>
      <c r="C50" s="10" t="s">
        <v>152</v>
      </c>
      <c r="D50" s="10" t="s">
        <v>222</v>
      </c>
      <c r="E50" s="10" t="n">
        <v>30</v>
      </c>
      <c r="F50" s="10" t="n">
        <v>2912.04</v>
      </c>
      <c r="G50" s="10" t="s">
        <v>223</v>
      </c>
      <c r="H50" s="11" t="str">
        <f aca="false">IF(G50="","Open","Paid")</f>
        <v>Paid</v>
      </c>
      <c r="I50" s="11" t="n">
        <f aca="false">IF(G50="","",DATEVALUE(G50)-DATEVALUE(C50))</f>
        <v>37</v>
      </c>
      <c r="J50" s="11" t="n">
        <f aca="true">IF(G50="",TODAY()-DATEVALUE(D50),DATEVALUE(G50)-DATEVALUE(D50))</f>
        <v>7</v>
      </c>
      <c r="K50" s="11" t="str">
        <f aca="false">IF(J50&lt;=0,"Current",IF(J50&lt;=30,"1-30 days",IF(J50&lt;=60,"31-60 days",IF(J50&lt;=90,"61-90 days","90+ days"))))</f>
        <v>1-30 days</v>
      </c>
    </row>
    <row r="51" customFormat="false" ht="15" hidden="false" customHeight="false" outlineLevel="0" collapsed="false">
      <c r="A51" s="10" t="s">
        <v>224</v>
      </c>
      <c r="B51" s="10" t="s">
        <v>33</v>
      </c>
      <c r="C51" s="10" t="s">
        <v>225</v>
      </c>
      <c r="D51" s="10" t="s">
        <v>226</v>
      </c>
      <c r="E51" s="10" t="n">
        <v>30</v>
      </c>
      <c r="F51" s="10" t="n">
        <v>6625.28</v>
      </c>
      <c r="G51" s="10" t="s">
        <v>227</v>
      </c>
      <c r="H51" s="11" t="str">
        <f aca="false">IF(G51="","Open","Paid")</f>
        <v>Paid</v>
      </c>
      <c r="I51" s="11" t="n">
        <f aca="false">IF(G51="","",DATEVALUE(G51)-DATEVALUE(C51))</f>
        <v>28</v>
      </c>
      <c r="J51" s="11" t="n">
        <f aca="true">IF(G51="",TODAY()-DATEVALUE(D51),DATEVALUE(G51)-DATEVALUE(D51))</f>
        <v>-2</v>
      </c>
      <c r="K51" s="11" t="str">
        <f aca="false">IF(J51&lt;=0,"Current",IF(J51&lt;=30,"1-30 days",IF(J51&lt;=60,"31-60 days",IF(J51&lt;=90,"61-90 days","90+ days"))))</f>
        <v>Current</v>
      </c>
    </row>
    <row r="52" customFormat="false" ht="15" hidden="false" customHeight="false" outlineLevel="0" collapsed="false">
      <c r="A52" s="10" t="s">
        <v>228</v>
      </c>
      <c r="B52" s="10" t="s">
        <v>229</v>
      </c>
      <c r="C52" s="10" t="s">
        <v>219</v>
      </c>
      <c r="D52" s="10" t="s">
        <v>230</v>
      </c>
      <c r="E52" s="10" t="n">
        <v>30</v>
      </c>
      <c r="F52" s="10" t="n">
        <v>8326.65</v>
      </c>
      <c r="G52" s="10" t="s">
        <v>231</v>
      </c>
      <c r="H52" s="11" t="str">
        <f aca="false">IF(G52="","Open","Paid")</f>
        <v>Paid</v>
      </c>
      <c r="I52" s="11" t="n">
        <f aca="false">IF(G52="","",DATEVALUE(G52)-DATEVALUE(C52))</f>
        <v>17</v>
      </c>
      <c r="J52" s="11" t="n">
        <f aca="true">IF(G52="",TODAY()-DATEVALUE(D52),DATEVALUE(G52)-DATEVALUE(D52))</f>
        <v>-13</v>
      </c>
      <c r="K52" s="11" t="str">
        <f aca="false">IF(J52&lt;=0,"Current",IF(J52&lt;=30,"1-30 days",IF(J52&lt;=60,"31-60 days",IF(J52&lt;=90,"61-90 days","90+ days"))))</f>
        <v>Current</v>
      </c>
    </row>
    <row r="53" customFormat="false" ht="15" hidden="false" customHeight="false" outlineLevel="0" collapsed="false">
      <c r="A53" s="10" t="s">
        <v>232</v>
      </c>
      <c r="B53" s="10" t="s">
        <v>233</v>
      </c>
      <c r="C53" s="10" t="s">
        <v>234</v>
      </c>
      <c r="D53" s="10" t="s">
        <v>235</v>
      </c>
      <c r="E53" s="10" t="n">
        <v>30</v>
      </c>
      <c r="F53" s="10" t="n">
        <v>10380.59</v>
      </c>
      <c r="G53" s="10"/>
      <c r="H53" s="11" t="str">
        <f aca="false">IF(G53="","Open","Paid")</f>
        <v>Open</v>
      </c>
      <c r="I53" s="11" t="str">
        <f aca="false">IF(G53="","",DATEVALUE(G53)-DATEVALUE(C53))</f>
        <v/>
      </c>
      <c r="J53" s="11" t="n">
        <f aca="true">IF(G53="",TODAY()-DATEVALUE(D53),DATEVALUE(G53)-DATEVALUE(D53))</f>
        <v>-25</v>
      </c>
      <c r="K53" s="11" t="str">
        <f aca="false">IF(J53&lt;=0,"Current",IF(J53&lt;=30,"1-30 days",IF(J53&lt;=60,"31-60 days",IF(J53&lt;=90,"61-90 days","90+ days"))))</f>
        <v>Current</v>
      </c>
    </row>
    <row r="54" customFormat="false" ht="15" hidden="false" customHeight="false" outlineLevel="0" collapsed="false">
      <c r="A54" s="10" t="s">
        <v>236</v>
      </c>
      <c r="B54" s="10" t="s">
        <v>28</v>
      </c>
      <c r="C54" s="10" t="s">
        <v>56</v>
      </c>
      <c r="D54" s="10" t="s">
        <v>108</v>
      </c>
      <c r="E54" s="10" t="n">
        <v>30</v>
      </c>
      <c r="F54" s="10" t="n">
        <v>10026.48</v>
      </c>
      <c r="G54" s="10" t="s">
        <v>237</v>
      </c>
      <c r="H54" s="11" t="str">
        <f aca="false">IF(G54="","Open","Paid")</f>
        <v>Paid</v>
      </c>
      <c r="I54" s="11" t="n">
        <f aca="false">IF(G54="","",DATEVALUE(G54)-DATEVALUE(C54))</f>
        <v>22</v>
      </c>
      <c r="J54" s="11" t="n">
        <f aca="true">IF(G54="",TODAY()-DATEVALUE(D54),DATEVALUE(G54)-DATEVALUE(D54))</f>
        <v>-8</v>
      </c>
      <c r="K54" s="11" t="str">
        <f aca="false">IF(J54&lt;=0,"Current",IF(J54&lt;=30,"1-30 days",IF(J54&lt;=60,"31-60 days",IF(J54&lt;=90,"61-90 days","90+ days"))))</f>
        <v>Current</v>
      </c>
    </row>
    <row r="55" customFormat="false" ht="15" hidden="false" customHeight="false" outlineLevel="0" collapsed="false">
      <c r="A55" s="10" t="s">
        <v>238</v>
      </c>
      <c r="B55" s="10" t="s">
        <v>28</v>
      </c>
      <c r="C55" s="10" t="s">
        <v>239</v>
      </c>
      <c r="D55" s="10" t="s">
        <v>240</v>
      </c>
      <c r="E55" s="10" t="n">
        <v>30</v>
      </c>
      <c r="F55" s="10" t="n">
        <v>3924.88</v>
      </c>
      <c r="G55" s="10" t="s">
        <v>241</v>
      </c>
      <c r="H55" s="11" t="str">
        <f aca="false">IF(G55="","Open","Paid")</f>
        <v>Paid</v>
      </c>
      <c r="I55" s="11" t="n">
        <f aca="false">IF(G55="","",DATEVALUE(G55)-DATEVALUE(C55))</f>
        <v>23</v>
      </c>
      <c r="J55" s="11" t="n">
        <f aca="true">IF(G55="",TODAY()-DATEVALUE(D55),DATEVALUE(G55)-DATEVALUE(D55))</f>
        <v>-7</v>
      </c>
      <c r="K55" s="11" t="str">
        <f aca="false">IF(J55&lt;=0,"Current",IF(J55&lt;=30,"1-30 days",IF(J55&lt;=60,"31-60 days",IF(J55&lt;=90,"61-90 days","90+ days"))))</f>
        <v>Current</v>
      </c>
    </row>
    <row r="56" customFormat="false" ht="15" hidden="false" customHeight="false" outlineLevel="0" collapsed="false">
      <c r="A56" s="10" t="s">
        <v>242</v>
      </c>
      <c r="B56" s="10" t="s">
        <v>243</v>
      </c>
      <c r="C56" s="10" t="s">
        <v>108</v>
      </c>
      <c r="D56" s="10" t="s">
        <v>194</v>
      </c>
      <c r="E56" s="10" t="n">
        <v>30</v>
      </c>
      <c r="F56" s="10" t="n">
        <v>5159.05</v>
      </c>
      <c r="G56" s="10" t="s">
        <v>241</v>
      </c>
      <c r="H56" s="11" t="str">
        <f aca="false">IF(G56="","Open","Paid")</f>
        <v>Paid</v>
      </c>
      <c r="I56" s="11" t="n">
        <f aca="false">IF(G56="","",DATEVALUE(G56)-DATEVALUE(C56))</f>
        <v>37</v>
      </c>
      <c r="J56" s="11" t="n">
        <f aca="true">IF(G56="",TODAY()-DATEVALUE(D56),DATEVALUE(G56)-DATEVALUE(D56))</f>
        <v>7</v>
      </c>
      <c r="K56" s="11" t="str">
        <f aca="false">IF(J56&lt;=0,"Current",IF(J56&lt;=30,"1-30 days",IF(J56&lt;=60,"31-60 days",IF(J56&lt;=90,"61-90 days","90+ days"))))</f>
        <v>1-30 days</v>
      </c>
    </row>
    <row r="57" customFormat="false" ht="15" hidden="false" customHeight="false" outlineLevel="0" collapsed="false">
      <c r="A57" s="10" t="s">
        <v>244</v>
      </c>
      <c r="B57" s="10" t="s">
        <v>212</v>
      </c>
      <c r="C57" s="10" t="s">
        <v>245</v>
      </c>
      <c r="D57" s="10" t="s">
        <v>84</v>
      </c>
      <c r="E57" s="10" t="n">
        <v>30</v>
      </c>
      <c r="F57" s="10" t="n">
        <v>4327.98</v>
      </c>
      <c r="G57" s="10" t="s">
        <v>157</v>
      </c>
      <c r="H57" s="11" t="str">
        <f aca="false">IF(G57="","Open","Paid")</f>
        <v>Paid</v>
      </c>
      <c r="I57" s="11" t="n">
        <f aca="false">IF(G57="","",DATEVALUE(G57)-DATEVALUE(C57))</f>
        <v>13</v>
      </c>
      <c r="J57" s="11" t="n">
        <f aca="true">IF(G57="",TODAY()-DATEVALUE(D57),DATEVALUE(G57)-DATEVALUE(D57))</f>
        <v>-17</v>
      </c>
      <c r="K57" s="11" t="str">
        <f aca="false">IF(J57&lt;=0,"Current",IF(J57&lt;=30,"1-30 days",IF(J57&lt;=60,"31-60 days",IF(J57&lt;=90,"61-90 days","90+ days"))))</f>
        <v>Current</v>
      </c>
    </row>
    <row r="58" customFormat="false" ht="15" hidden="false" customHeight="false" outlineLevel="0" collapsed="false">
      <c r="A58" s="10" t="s">
        <v>246</v>
      </c>
      <c r="B58" s="10" t="s">
        <v>185</v>
      </c>
      <c r="C58" s="10" t="s">
        <v>247</v>
      </c>
      <c r="D58" s="10" t="s">
        <v>248</v>
      </c>
      <c r="E58" s="10" t="n">
        <v>30</v>
      </c>
      <c r="F58" s="10" t="n">
        <v>4318.21</v>
      </c>
      <c r="G58" s="10" t="s">
        <v>249</v>
      </c>
      <c r="H58" s="11" t="str">
        <f aca="false">IF(G58="","Open","Paid")</f>
        <v>Paid</v>
      </c>
      <c r="I58" s="11" t="n">
        <f aca="false">IF(G58="","",DATEVALUE(G58)-DATEVALUE(C58))</f>
        <v>42</v>
      </c>
      <c r="J58" s="11" t="n">
        <f aca="true">IF(G58="",TODAY()-DATEVALUE(D58),DATEVALUE(G58)-DATEVALUE(D58))</f>
        <v>12</v>
      </c>
      <c r="K58" s="11" t="str">
        <f aca="false">IF(J58&lt;=0,"Current",IF(J58&lt;=30,"1-30 days",IF(J58&lt;=60,"31-60 days",IF(J58&lt;=90,"61-90 days","90+ days"))))</f>
        <v>1-30 days</v>
      </c>
    </row>
    <row r="59" customFormat="false" ht="15" hidden="false" customHeight="false" outlineLevel="0" collapsed="false">
      <c r="A59" s="10" t="s">
        <v>250</v>
      </c>
      <c r="B59" s="10" t="s">
        <v>102</v>
      </c>
      <c r="C59" s="10" t="s">
        <v>134</v>
      </c>
      <c r="D59" s="10" t="s">
        <v>251</v>
      </c>
      <c r="E59" s="10" t="n">
        <v>45</v>
      </c>
      <c r="F59" s="10" t="n">
        <v>4149.13</v>
      </c>
      <c r="G59" s="10" t="s">
        <v>252</v>
      </c>
      <c r="H59" s="11" t="str">
        <f aca="false">IF(G59="","Open","Paid")</f>
        <v>Paid</v>
      </c>
      <c r="I59" s="11" t="n">
        <f aca="false">IF(G59="","",DATEVALUE(G59)-DATEVALUE(C59))</f>
        <v>28</v>
      </c>
      <c r="J59" s="11" t="n">
        <f aca="true">IF(G59="",TODAY()-DATEVALUE(D59),DATEVALUE(G59)-DATEVALUE(D59))</f>
        <v>-17</v>
      </c>
      <c r="K59" s="11" t="str">
        <f aca="false">IF(J59&lt;=0,"Current",IF(J59&lt;=30,"1-30 days",IF(J59&lt;=60,"31-60 days",IF(J59&lt;=90,"61-90 days","90+ days"))))</f>
        <v>Current</v>
      </c>
    </row>
    <row r="60" customFormat="false" ht="15" hidden="false" customHeight="false" outlineLevel="0" collapsed="false">
      <c r="A60" s="10" t="s">
        <v>253</v>
      </c>
      <c r="B60" s="10" t="s">
        <v>119</v>
      </c>
      <c r="C60" s="10" t="s">
        <v>225</v>
      </c>
      <c r="D60" s="10" t="s">
        <v>254</v>
      </c>
      <c r="E60" s="10" t="n">
        <v>45</v>
      </c>
      <c r="F60" s="10" t="n">
        <v>4817.71</v>
      </c>
      <c r="G60" s="10"/>
      <c r="H60" s="11" t="str">
        <f aca="false">IF(G60="","Open","Paid")</f>
        <v>Open</v>
      </c>
      <c r="I60" s="11" t="str">
        <f aca="false">IF(G60="","",DATEVALUE(G60)-DATEVALUE(C60))</f>
        <v/>
      </c>
      <c r="J60" s="11" t="n">
        <f aca="true">IF(G60="",TODAY()-DATEVALUE(D60),DATEVALUE(G60)-DATEVALUE(D60))</f>
        <v>8</v>
      </c>
      <c r="K60" s="11" t="str">
        <f aca="false">IF(J60&lt;=0,"Current",IF(J60&lt;=30,"1-30 days",IF(J60&lt;=60,"31-60 days",IF(J60&lt;=90,"61-90 days","90+ days"))))</f>
        <v>1-30 days</v>
      </c>
    </row>
    <row r="61" customFormat="false" ht="15" hidden="false" customHeight="false" outlineLevel="0" collapsed="false">
      <c r="A61" s="10" t="s">
        <v>255</v>
      </c>
      <c r="B61" s="10" t="s">
        <v>256</v>
      </c>
      <c r="C61" s="10" t="s">
        <v>257</v>
      </c>
      <c r="D61" s="10" t="s">
        <v>258</v>
      </c>
      <c r="E61" s="10" t="n">
        <v>30</v>
      </c>
      <c r="F61" s="10" t="n">
        <v>9104.66</v>
      </c>
      <c r="G61" s="10"/>
      <c r="H61" s="11" t="str">
        <f aca="false">IF(G61="","Open","Paid")</f>
        <v>Open</v>
      </c>
      <c r="I61" s="11" t="str">
        <f aca="false">IF(G61="","",DATEVALUE(G61)-DATEVALUE(C61))</f>
        <v/>
      </c>
      <c r="J61" s="11" t="n">
        <f aca="true">IF(G61="",TODAY()-DATEVALUE(D61),DATEVALUE(G61)-DATEVALUE(D61))</f>
        <v>14</v>
      </c>
      <c r="K61" s="11" t="str">
        <f aca="false">IF(J61&lt;=0,"Current",IF(J61&lt;=30,"1-30 days",IF(J61&lt;=60,"31-60 days",IF(J61&lt;=90,"61-90 days","90+ days"))))</f>
        <v>1-30 days</v>
      </c>
    </row>
    <row r="62" customFormat="false" ht="15" hidden="false" customHeight="false" outlineLevel="0" collapsed="false">
      <c r="A62" s="10" t="s">
        <v>259</v>
      </c>
      <c r="B62" s="10" t="s">
        <v>260</v>
      </c>
      <c r="C62" s="10" t="s">
        <v>192</v>
      </c>
      <c r="D62" s="10" t="s">
        <v>261</v>
      </c>
      <c r="E62" s="10" t="n">
        <v>30</v>
      </c>
      <c r="F62" s="10" t="n">
        <v>5768.82</v>
      </c>
      <c r="G62" s="10" t="s">
        <v>202</v>
      </c>
      <c r="H62" s="11" t="str">
        <f aca="false">IF(G62="","Open","Paid")</f>
        <v>Paid</v>
      </c>
      <c r="I62" s="11" t="n">
        <f aca="false">IF(G62="","",DATEVALUE(G62)-DATEVALUE(C62))</f>
        <v>43</v>
      </c>
      <c r="J62" s="11" t="n">
        <f aca="true">IF(G62="",TODAY()-DATEVALUE(D62),DATEVALUE(G62)-DATEVALUE(D62))</f>
        <v>13</v>
      </c>
      <c r="K62" s="11" t="str">
        <f aca="false">IF(J62&lt;=0,"Current",IF(J62&lt;=30,"1-30 days",IF(J62&lt;=60,"31-60 days",IF(J62&lt;=90,"61-90 days","90+ days"))))</f>
        <v>1-30 days</v>
      </c>
    </row>
    <row r="63" customFormat="false" ht="15" hidden="false" customHeight="false" outlineLevel="0" collapsed="false">
      <c r="A63" s="10" t="s">
        <v>262</v>
      </c>
      <c r="B63" s="10" t="s">
        <v>171</v>
      </c>
      <c r="C63" s="10" t="s">
        <v>99</v>
      </c>
      <c r="D63" s="10" t="s">
        <v>213</v>
      </c>
      <c r="E63" s="10" t="n">
        <v>30</v>
      </c>
      <c r="F63" s="10" t="n">
        <v>2149.63</v>
      </c>
      <c r="G63" s="10" t="s">
        <v>263</v>
      </c>
      <c r="H63" s="11" t="str">
        <f aca="false">IF(G63="","Open","Paid")</f>
        <v>Paid</v>
      </c>
      <c r="I63" s="11" t="n">
        <f aca="false">IF(G63="","",DATEVALUE(G63)-DATEVALUE(C63))</f>
        <v>69</v>
      </c>
      <c r="J63" s="11" t="n">
        <f aca="true">IF(G63="",TODAY()-DATEVALUE(D63),DATEVALUE(G63)-DATEVALUE(D63))</f>
        <v>39</v>
      </c>
      <c r="K63" s="11" t="str">
        <f aca="false">IF(J63&lt;=0,"Current",IF(J63&lt;=30,"1-30 days",IF(J63&lt;=60,"31-60 days",IF(J63&lt;=90,"61-90 days","90+ days"))))</f>
        <v>31-60 days</v>
      </c>
    </row>
    <row r="64" customFormat="false" ht="15" hidden="false" customHeight="false" outlineLevel="0" collapsed="false">
      <c r="A64" s="10" t="s">
        <v>264</v>
      </c>
      <c r="B64" s="10" t="s">
        <v>265</v>
      </c>
      <c r="C64" s="10" t="s">
        <v>266</v>
      </c>
      <c r="D64" s="10" t="s">
        <v>267</v>
      </c>
      <c r="E64" s="10" t="n">
        <v>30</v>
      </c>
      <c r="F64" s="10" t="n">
        <v>8128.3</v>
      </c>
      <c r="G64" s="10" t="s">
        <v>268</v>
      </c>
      <c r="H64" s="11" t="str">
        <f aca="false">IF(G64="","Open","Paid")</f>
        <v>Paid</v>
      </c>
      <c r="I64" s="11" t="n">
        <f aca="false">IF(G64="","",DATEVALUE(G64)-DATEVALUE(C64))</f>
        <v>18</v>
      </c>
      <c r="J64" s="11" t="n">
        <f aca="true">IF(G64="",TODAY()-DATEVALUE(D64),DATEVALUE(G64)-DATEVALUE(D64))</f>
        <v>-12</v>
      </c>
      <c r="K64" s="11" t="str">
        <f aca="false">IF(J64&lt;=0,"Current",IF(J64&lt;=30,"1-30 days",IF(J64&lt;=60,"31-60 days",IF(J64&lt;=90,"61-90 days","90+ days"))))</f>
        <v>Current</v>
      </c>
    </row>
    <row r="65" customFormat="false" ht="15" hidden="false" customHeight="false" outlineLevel="0" collapsed="false">
      <c r="A65" s="10" t="s">
        <v>269</v>
      </c>
      <c r="B65" s="10" t="s">
        <v>270</v>
      </c>
      <c r="C65" s="10" t="s">
        <v>271</v>
      </c>
      <c r="D65" s="10" t="s">
        <v>152</v>
      </c>
      <c r="E65" s="10" t="n">
        <v>30</v>
      </c>
      <c r="F65" s="10" t="n">
        <v>5449.26</v>
      </c>
      <c r="G65" s="10" t="s">
        <v>272</v>
      </c>
      <c r="H65" s="11" t="str">
        <f aca="false">IF(G65="","Open","Paid")</f>
        <v>Paid</v>
      </c>
      <c r="I65" s="11" t="n">
        <f aca="false">IF(G65="","",DATEVALUE(G65)-DATEVALUE(C65))</f>
        <v>23</v>
      </c>
      <c r="J65" s="11" t="n">
        <f aca="true">IF(G65="",TODAY()-DATEVALUE(D65),DATEVALUE(G65)-DATEVALUE(D65))</f>
        <v>-7</v>
      </c>
      <c r="K65" s="11" t="str">
        <f aca="false">IF(J65&lt;=0,"Current",IF(J65&lt;=30,"1-30 days",IF(J65&lt;=60,"31-60 days",IF(J65&lt;=90,"61-90 days","90+ days"))))</f>
        <v>Current</v>
      </c>
    </row>
    <row r="66" customFormat="false" ht="15" hidden="false" customHeight="false" outlineLevel="0" collapsed="false">
      <c r="A66" s="10" t="s">
        <v>273</v>
      </c>
      <c r="B66" s="10" t="s">
        <v>73</v>
      </c>
      <c r="C66" s="10" t="s">
        <v>274</v>
      </c>
      <c r="D66" s="10" t="s">
        <v>98</v>
      </c>
      <c r="E66" s="10" t="n">
        <v>30</v>
      </c>
      <c r="F66" s="10" t="n">
        <v>6391.89</v>
      </c>
      <c r="G66" s="10" t="s">
        <v>252</v>
      </c>
      <c r="H66" s="11" t="str">
        <f aca="false">IF(G66="","Open","Paid")</f>
        <v>Paid</v>
      </c>
      <c r="I66" s="11" t="n">
        <f aca="false">IF(G66="","",DATEVALUE(G66)-DATEVALUE(C66))</f>
        <v>52</v>
      </c>
      <c r="J66" s="11" t="n">
        <f aca="true">IF(G66="",TODAY()-DATEVALUE(D66),DATEVALUE(G66)-DATEVALUE(D66))</f>
        <v>22</v>
      </c>
      <c r="K66" s="11" t="str">
        <f aca="false">IF(J66&lt;=0,"Current",IF(J66&lt;=30,"1-30 days",IF(J66&lt;=60,"31-60 days",IF(J66&lt;=90,"61-90 days","90+ days"))))</f>
        <v>1-30 days</v>
      </c>
    </row>
    <row r="67" customFormat="false" ht="15" hidden="false" customHeight="false" outlineLevel="0" collapsed="false">
      <c r="A67" s="10" t="s">
        <v>275</v>
      </c>
      <c r="B67" s="10" t="s">
        <v>276</v>
      </c>
      <c r="C67" s="10" t="s">
        <v>98</v>
      </c>
      <c r="D67" s="10" t="s">
        <v>99</v>
      </c>
      <c r="E67" s="10" t="n">
        <v>30</v>
      </c>
      <c r="F67" s="10" t="n">
        <v>5701.77</v>
      </c>
      <c r="G67" s="10" t="s">
        <v>99</v>
      </c>
      <c r="H67" s="11" t="str">
        <f aca="false">IF(G67="","Open","Paid")</f>
        <v>Paid</v>
      </c>
      <c r="I67" s="11" t="n">
        <f aca="false">IF(G67="","",DATEVALUE(G67)-DATEVALUE(C67))</f>
        <v>30</v>
      </c>
      <c r="J67" s="11" t="n">
        <f aca="true">IF(G67="",TODAY()-DATEVALUE(D67),DATEVALUE(G67)-DATEVALUE(D67))</f>
        <v>0</v>
      </c>
      <c r="K67" s="11" t="str">
        <f aca="false">IF(J67&lt;=0,"Current",IF(J67&lt;=30,"1-30 days",IF(J67&lt;=60,"31-60 days",IF(J67&lt;=90,"61-90 days","90+ days"))))</f>
        <v>Current</v>
      </c>
    </row>
    <row r="68" customFormat="false" ht="15" hidden="false" customHeight="false" outlineLevel="0" collapsed="false">
      <c r="A68" s="10" t="s">
        <v>277</v>
      </c>
      <c r="B68" s="10" t="s">
        <v>278</v>
      </c>
      <c r="C68" s="10" t="s">
        <v>153</v>
      </c>
      <c r="D68" s="10" t="s">
        <v>186</v>
      </c>
      <c r="E68" s="10" t="n">
        <v>30</v>
      </c>
      <c r="F68" s="10" t="n">
        <v>5856.39</v>
      </c>
      <c r="G68" s="10" t="s">
        <v>267</v>
      </c>
      <c r="H68" s="11" t="str">
        <f aca="false">IF(G68="","Open","Paid")</f>
        <v>Paid</v>
      </c>
      <c r="I68" s="11" t="n">
        <f aca="false">IF(G68="","",DATEVALUE(G68)-DATEVALUE(C68))</f>
        <v>28</v>
      </c>
      <c r="J68" s="11" t="n">
        <f aca="true">IF(G68="",TODAY()-DATEVALUE(D68),DATEVALUE(G68)-DATEVALUE(D68))</f>
        <v>-2</v>
      </c>
      <c r="K68" s="11" t="str">
        <f aca="false">IF(J68&lt;=0,"Current",IF(J68&lt;=30,"1-30 days",IF(J68&lt;=60,"31-60 days",IF(J68&lt;=90,"61-90 days","90+ days"))))</f>
        <v>Current</v>
      </c>
    </row>
    <row r="69" customFormat="false" ht="15" hidden="false" customHeight="false" outlineLevel="0" collapsed="false">
      <c r="A69" s="10" t="s">
        <v>279</v>
      </c>
      <c r="B69" s="10" t="s">
        <v>156</v>
      </c>
      <c r="C69" s="10" t="s">
        <v>280</v>
      </c>
      <c r="D69" s="10" t="s">
        <v>205</v>
      </c>
      <c r="E69" s="10" t="n">
        <v>30</v>
      </c>
      <c r="F69" s="10" t="n">
        <v>6015.7</v>
      </c>
      <c r="G69" s="10" t="s">
        <v>281</v>
      </c>
      <c r="H69" s="11" t="str">
        <f aca="false">IF(G69="","Open","Paid")</f>
        <v>Paid</v>
      </c>
      <c r="I69" s="11" t="n">
        <f aca="false">IF(G69="","",DATEVALUE(G69)-DATEVALUE(C69))</f>
        <v>29</v>
      </c>
      <c r="J69" s="11" t="n">
        <f aca="true">IF(G69="",TODAY()-DATEVALUE(D69),DATEVALUE(G69)-DATEVALUE(D69))</f>
        <v>-1</v>
      </c>
      <c r="K69" s="11" t="str">
        <f aca="false">IF(J69&lt;=0,"Current",IF(J69&lt;=30,"1-30 days",IF(J69&lt;=60,"31-60 days",IF(J69&lt;=90,"61-90 days","90+ days"))))</f>
        <v>Current</v>
      </c>
    </row>
    <row r="70" customFormat="false" ht="15" hidden="false" customHeight="false" outlineLevel="0" collapsed="false">
      <c r="A70" s="10" t="s">
        <v>282</v>
      </c>
      <c r="B70" s="10" t="s">
        <v>77</v>
      </c>
      <c r="C70" s="10" t="s">
        <v>258</v>
      </c>
      <c r="D70" s="10" t="s">
        <v>283</v>
      </c>
      <c r="E70" s="10" t="n">
        <v>30</v>
      </c>
      <c r="F70" s="10" t="n">
        <v>1307.28</v>
      </c>
      <c r="G70" s="10"/>
      <c r="H70" s="11" t="str">
        <f aca="false">IF(G70="","Open","Paid")</f>
        <v>Open</v>
      </c>
      <c r="I70" s="11" t="str">
        <f aca="false">IF(G70="","",DATEVALUE(G70)-DATEVALUE(C70))</f>
        <v/>
      </c>
      <c r="J70" s="11" t="n">
        <f aca="true">IF(G70="",TODAY()-DATEVALUE(D70),DATEVALUE(G70)-DATEVALUE(D70))</f>
        <v>-16</v>
      </c>
      <c r="K70" s="11" t="str">
        <f aca="false">IF(J70&lt;=0,"Current",IF(J70&lt;=30,"1-30 days",IF(J70&lt;=60,"31-60 days",IF(J70&lt;=90,"61-90 days","90+ days"))))</f>
        <v>Current</v>
      </c>
    </row>
    <row r="71" customFormat="false" ht="15" hidden="false" customHeight="false" outlineLevel="0" collapsed="false">
      <c r="A71" s="10" t="s">
        <v>284</v>
      </c>
      <c r="B71" s="10" t="s">
        <v>139</v>
      </c>
      <c r="C71" s="10" t="s">
        <v>285</v>
      </c>
      <c r="D71" s="10" t="s">
        <v>286</v>
      </c>
      <c r="E71" s="10" t="n">
        <v>30</v>
      </c>
      <c r="F71" s="10" t="n">
        <v>6344.91</v>
      </c>
      <c r="G71" s="10" t="s">
        <v>287</v>
      </c>
      <c r="H71" s="11" t="str">
        <f aca="false">IF(G71="","Open","Paid")</f>
        <v>Paid</v>
      </c>
      <c r="I71" s="11" t="n">
        <f aca="false">IF(G71="","",DATEVALUE(G71)-DATEVALUE(C71))</f>
        <v>12</v>
      </c>
      <c r="J71" s="11" t="n">
        <f aca="true">IF(G71="",TODAY()-DATEVALUE(D71),DATEVALUE(G71)-DATEVALUE(D71))</f>
        <v>-18</v>
      </c>
      <c r="K71" s="11" t="str">
        <f aca="false">IF(J71&lt;=0,"Current",IF(J71&lt;=30,"1-30 days",IF(J71&lt;=60,"31-60 days",IF(J71&lt;=90,"61-90 days","90+ days"))))</f>
        <v>Current</v>
      </c>
    </row>
    <row r="72" customFormat="false" ht="15" hidden="false" customHeight="false" outlineLevel="0" collapsed="false">
      <c r="A72" s="10" t="s">
        <v>288</v>
      </c>
      <c r="B72" s="10" t="s">
        <v>256</v>
      </c>
      <c r="C72" s="10" t="s">
        <v>289</v>
      </c>
      <c r="D72" s="10" t="s">
        <v>290</v>
      </c>
      <c r="E72" s="10" t="n">
        <v>45</v>
      </c>
      <c r="F72" s="10" t="n">
        <v>2996.37</v>
      </c>
      <c r="G72" s="10" t="s">
        <v>291</v>
      </c>
      <c r="H72" s="11" t="str">
        <f aca="false">IF(G72="","Open","Paid")</f>
        <v>Paid</v>
      </c>
      <c r="I72" s="11" t="n">
        <f aca="false">IF(G72="","",DATEVALUE(G72)-DATEVALUE(C72))</f>
        <v>38</v>
      </c>
      <c r="J72" s="11" t="n">
        <f aca="true">IF(G72="",TODAY()-DATEVALUE(D72),DATEVALUE(G72)-DATEVALUE(D72))</f>
        <v>-7</v>
      </c>
      <c r="K72" s="11" t="str">
        <f aca="false">IF(J72&lt;=0,"Current",IF(J72&lt;=30,"1-30 days",IF(J72&lt;=60,"31-60 days",IF(J72&lt;=90,"61-90 days","90+ days"))))</f>
        <v>Current</v>
      </c>
    </row>
    <row r="73" customFormat="false" ht="15" hidden="false" customHeight="false" outlineLevel="0" collapsed="false">
      <c r="A73" s="10" t="s">
        <v>292</v>
      </c>
      <c r="B73" s="10" t="s">
        <v>293</v>
      </c>
      <c r="C73" s="10" t="s">
        <v>294</v>
      </c>
      <c r="D73" s="10" t="s">
        <v>215</v>
      </c>
      <c r="E73" s="10" t="n">
        <v>45</v>
      </c>
      <c r="F73" s="10" t="n">
        <v>3513.19</v>
      </c>
      <c r="G73" s="10" t="s">
        <v>295</v>
      </c>
      <c r="H73" s="11" t="str">
        <f aca="false">IF(G73="","Open","Paid")</f>
        <v>Paid</v>
      </c>
      <c r="I73" s="11" t="n">
        <f aca="false">IF(G73="","",DATEVALUE(G73)-DATEVALUE(C73))</f>
        <v>55</v>
      </c>
      <c r="J73" s="11" t="n">
        <f aca="true">IF(G73="",TODAY()-DATEVALUE(D73),DATEVALUE(G73)-DATEVALUE(D73))</f>
        <v>10</v>
      </c>
      <c r="K73" s="11" t="str">
        <f aca="false">IF(J73&lt;=0,"Current",IF(J73&lt;=30,"1-30 days",IF(J73&lt;=60,"31-60 days",IF(J73&lt;=90,"61-90 days","90+ days"))))</f>
        <v>1-30 days</v>
      </c>
    </row>
    <row r="74" customFormat="false" ht="15" hidden="false" customHeight="false" outlineLevel="0" collapsed="false">
      <c r="A74" s="10" t="s">
        <v>296</v>
      </c>
      <c r="B74" s="10" t="s">
        <v>297</v>
      </c>
      <c r="C74" s="10" t="s">
        <v>48</v>
      </c>
      <c r="D74" s="10" t="s">
        <v>298</v>
      </c>
      <c r="E74" s="10" t="n">
        <v>45</v>
      </c>
      <c r="F74" s="10" t="n">
        <v>4794.36</v>
      </c>
      <c r="G74" s="10" t="s">
        <v>35</v>
      </c>
      <c r="H74" s="11" t="str">
        <f aca="false">IF(G74="","Open","Paid")</f>
        <v>Paid</v>
      </c>
      <c r="I74" s="11" t="n">
        <f aca="false">IF(G74="","",DATEVALUE(G74)-DATEVALUE(C74))</f>
        <v>28</v>
      </c>
      <c r="J74" s="11" t="n">
        <f aca="true">IF(G74="",TODAY()-DATEVALUE(D74),DATEVALUE(G74)-DATEVALUE(D74))</f>
        <v>-17</v>
      </c>
      <c r="K74" s="11" t="str">
        <f aca="false">IF(J74&lt;=0,"Current",IF(J74&lt;=30,"1-30 days",IF(J74&lt;=60,"31-60 days",IF(J74&lt;=90,"61-90 days","90+ days"))))</f>
        <v>Current</v>
      </c>
    </row>
    <row r="75" customFormat="false" ht="15" hidden="false" customHeight="false" outlineLevel="0" collapsed="false">
      <c r="A75" s="10" t="s">
        <v>299</v>
      </c>
      <c r="B75" s="10" t="s">
        <v>38</v>
      </c>
      <c r="C75" s="10" t="s">
        <v>300</v>
      </c>
      <c r="D75" s="10" t="s">
        <v>231</v>
      </c>
      <c r="E75" s="10" t="n">
        <v>30</v>
      </c>
      <c r="F75" s="10" t="n">
        <v>11293.76</v>
      </c>
      <c r="G75" s="10" t="s">
        <v>301</v>
      </c>
      <c r="H75" s="11" t="str">
        <f aca="false">IF(G75="","Open","Paid")</f>
        <v>Paid</v>
      </c>
      <c r="I75" s="11" t="n">
        <f aca="false">IF(G75="","",DATEVALUE(G75)-DATEVALUE(C75))</f>
        <v>27</v>
      </c>
      <c r="J75" s="11" t="n">
        <f aca="true">IF(G75="",TODAY()-DATEVALUE(D75),DATEVALUE(G75)-DATEVALUE(D75))</f>
        <v>-3</v>
      </c>
      <c r="K75" s="11" t="str">
        <f aca="false">IF(J75&lt;=0,"Current",IF(J75&lt;=30,"1-30 days",IF(J75&lt;=60,"31-60 days",IF(J75&lt;=90,"61-90 days","90+ days"))))</f>
        <v>Current</v>
      </c>
    </row>
    <row r="76" customFormat="false" ht="15" hidden="false" customHeight="false" outlineLevel="0" collapsed="false">
      <c r="A76" s="10" t="s">
        <v>302</v>
      </c>
      <c r="B76" s="10" t="s">
        <v>303</v>
      </c>
      <c r="C76" s="10" t="s">
        <v>304</v>
      </c>
      <c r="D76" s="10" t="s">
        <v>305</v>
      </c>
      <c r="E76" s="10" t="n">
        <v>45</v>
      </c>
      <c r="F76" s="10" t="n">
        <v>2415.43</v>
      </c>
      <c r="G76" s="10"/>
      <c r="H76" s="11" t="str">
        <f aca="false">IF(G76="","Open","Paid")</f>
        <v>Open</v>
      </c>
      <c r="I76" s="11" t="str">
        <f aca="false">IF(G76="","",DATEVALUE(G76)-DATEVALUE(C76))</f>
        <v/>
      </c>
      <c r="J76" s="11" t="n">
        <f aca="true">IF(G76="",TODAY()-DATEVALUE(D76),DATEVALUE(G76)-DATEVALUE(D76))</f>
        <v>-21</v>
      </c>
      <c r="K76" s="11" t="str">
        <f aca="false">IF(J76&lt;=0,"Current",IF(J76&lt;=30,"1-30 days",IF(J76&lt;=60,"31-60 days",IF(J76&lt;=90,"61-90 days","90+ days"))))</f>
        <v>Current</v>
      </c>
    </row>
    <row r="77" customFormat="false" ht="15" hidden="false" customHeight="false" outlineLevel="0" collapsed="false">
      <c r="A77" s="10" t="s">
        <v>306</v>
      </c>
      <c r="B77" s="10" t="s">
        <v>156</v>
      </c>
      <c r="C77" s="10" t="s">
        <v>263</v>
      </c>
      <c r="D77" s="10" t="s">
        <v>219</v>
      </c>
      <c r="E77" s="10" t="n">
        <v>30</v>
      </c>
      <c r="F77" s="10" t="n">
        <v>4696.09</v>
      </c>
      <c r="G77" s="10" t="s">
        <v>307</v>
      </c>
      <c r="H77" s="11" t="str">
        <f aca="false">IF(G77="","Open","Paid")</f>
        <v>Paid</v>
      </c>
      <c r="I77" s="11" t="n">
        <f aca="false">IF(G77="","",DATEVALUE(G77)-DATEVALUE(C77))</f>
        <v>31</v>
      </c>
      <c r="J77" s="11" t="n">
        <f aca="true">IF(G77="",TODAY()-DATEVALUE(D77),DATEVALUE(G77)-DATEVALUE(D77))</f>
        <v>1</v>
      </c>
      <c r="K77" s="11" t="str">
        <f aca="false">IF(J77&lt;=0,"Current",IF(J77&lt;=30,"1-30 days",IF(J77&lt;=60,"31-60 days",IF(J77&lt;=90,"61-90 days","90+ days"))))</f>
        <v>1-30 days</v>
      </c>
    </row>
    <row r="78" customFormat="false" ht="15" hidden="false" customHeight="false" outlineLevel="0" collapsed="false">
      <c r="A78" s="10" t="s">
        <v>308</v>
      </c>
      <c r="B78" s="10" t="s">
        <v>106</v>
      </c>
      <c r="C78" s="10" t="s">
        <v>309</v>
      </c>
      <c r="D78" s="10" t="s">
        <v>169</v>
      </c>
      <c r="E78" s="10" t="n">
        <v>30</v>
      </c>
      <c r="F78" s="10" t="n">
        <v>4086.6</v>
      </c>
      <c r="G78" s="10" t="s">
        <v>281</v>
      </c>
      <c r="H78" s="11" t="str">
        <f aca="false">IF(G78="","Open","Paid")</f>
        <v>Paid</v>
      </c>
      <c r="I78" s="11" t="n">
        <f aca="false">IF(G78="","",DATEVALUE(G78)-DATEVALUE(C78))</f>
        <v>25</v>
      </c>
      <c r="J78" s="11" t="n">
        <f aca="true">IF(G78="",TODAY()-DATEVALUE(D78),DATEVALUE(G78)-DATEVALUE(D78))</f>
        <v>-5</v>
      </c>
      <c r="K78" s="11" t="str">
        <f aca="false">IF(J78&lt;=0,"Current",IF(J78&lt;=30,"1-30 days",IF(J78&lt;=60,"31-60 days",IF(J78&lt;=90,"61-90 days","90+ days"))))</f>
        <v>Current</v>
      </c>
    </row>
    <row r="79" customFormat="false" ht="15" hidden="false" customHeight="false" outlineLevel="0" collapsed="false">
      <c r="A79" s="10" t="s">
        <v>310</v>
      </c>
      <c r="B79" s="10" t="s">
        <v>311</v>
      </c>
      <c r="C79" s="10" t="s">
        <v>312</v>
      </c>
      <c r="D79" s="10" t="s">
        <v>313</v>
      </c>
      <c r="E79" s="10" t="n">
        <v>45</v>
      </c>
      <c r="F79" s="10" t="n">
        <v>8061.95</v>
      </c>
      <c r="G79" s="10" t="s">
        <v>89</v>
      </c>
      <c r="H79" s="11" t="str">
        <f aca="false">IF(G79="","Open","Paid")</f>
        <v>Paid</v>
      </c>
      <c r="I79" s="11" t="n">
        <f aca="false">IF(G79="","",DATEVALUE(G79)-DATEVALUE(C79))</f>
        <v>109</v>
      </c>
      <c r="J79" s="11" t="n">
        <f aca="true">IF(G79="",TODAY()-DATEVALUE(D79),DATEVALUE(G79)-DATEVALUE(D79))</f>
        <v>64</v>
      </c>
      <c r="K79" s="11" t="str">
        <f aca="false">IF(J79&lt;=0,"Current",IF(J79&lt;=30,"1-30 days",IF(J79&lt;=60,"31-60 days",IF(J79&lt;=90,"61-90 days","90+ days"))))</f>
        <v>61-90 days</v>
      </c>
    </row>
    <row r="80" customFormat="false" ht="15" hidden="false" customHeight="false" outlineLevel="0" collapsed="false">
      <c r="A80" s="10" t="s">
        <v>314</v>
      </c>
      <c r="B80" s="10" t="s">
        <v>315</v>
      </c>
      <c r="C80" s="10" t="s">
        <v>316</v>
      </c>
      <c r="D80" s="10" t="s">
        <v>317</v>
      </c>
      <c r="E80" s="10" t="n">
        <v>30</v>
      </c>
      <c r="F80" s="10" t="n">
        <v>4015.81</v>
      </c>
      <c r="G80" s="10" t="s">
        <v>318</v>
      </c>
      <c r="H80" s="11" t="str">
        <f aca="false">IF(G80="","Open","Paid")</f>
        <v>Paid</v>
      </c>
      <c r="I80" s="11" t="n">
        <f aca="false">IF(G80="","",DATEVALUE(G80)-DATEVALUE(C80))</f>
        <v>36</v>
      </c>
      <c r="J80" s="11" t="n">
        <f aca="true">IF(G80="",TODAY()-DATEVALUE(D80),DATEVALUE(G80)-DATEVALUE(D80))</f>
        <v>6</v>
      </c>
      <c r="K80" s="11" t="str">
        <f aca="false">IF(J80&lt;=0,"Current",IF(J80&lt;=30,"1-30 days",IF(J80&lt;=60,"31-60 days",IF(J80&lt;=90,"61-90 days","90+ days"))))</f>
        <v>1-30 days</v>
      </c>
    </row>
    <row r="81" customFormat="false" ht="15" hidden="false" customHeight="false" outlineLevel="0" collapsed="false">
      <c r="A81" s="10" t="s">
        <v>319</v>
      </c>
      <c r="B81" s="10" t="s">
        <v>180</v>
      </c>
      <c r="C81" s="10" t="s">
        <v>320</v>
      </c>
      <c r="D81" s="10" t="s">
        <v>272</v>
      </c>
      <c r="E81" s="10" t="n">
        <v>30</v>
      </c>
      <c r="F81" s="10" t="n">
        <v>5486.17</v>
      </c>
      <c r="G81" s="10" t="s">
        <v>157</v>
      </c>
      <c r="H81" s="11" t="str">
        <f aca="false">IF(G81="","Open","Paid")</f>
        <v>Paid</v>
      </c>
      <c r="I81" s="11" t="n">
        <f aca="false">IF(G81="","",DATEVALUE(G81)-DATEVALUE(C81))</f>
        <v>14</v>
      </c>
      <c r="J81" s="11" t="n">
        <f aca="true">IF(G81="",TODAY()-DATEVALUE(D81),DATEVALUE(G81)-DATEVALUE(D81))</f>
        <v>-16</v>
      </c>
      <c r="K81" s="11" t="str">
        <f aca="false">IF(J81&lt;=0,"Current",IF(J81&lt;=30,"1-30 days",IF(J81&lt;=60,"31-60 days",IF(J81&lt;=90,"61-90 days","90+ days"))))</f>
        <v>Current</v>
      </c>
    </row>
    <row r="82" customFormat="false" ht="15" hidden="false" customHeight="false" outlineLevel="0" collapsed="false">
      <c r="A82" s="10" t="s">
        <v>321</v>
      </c>
      <c r="B82" s="10" t="s">
        <v>77</v>
      </c>
      <c r="C82" s="10" t="s">
        <v>57</v>
      </c>
      <c r="D82" s="10" t="s">
        <v>322</v>
      </c>
      <c r="E82" s="10" t="n">
        <v>45</v>
      </c>
      <c r="F82" s="10" t="n">
        <v>2420.32</v>
      </c>
      <c r="G82" s="10" t="s">
        <v>323</v>
      </c>
      <c r="H82" s="11" t="str">
        <f aca="false">IF(G82="","Open","Paid")</f>
        <v>Paid</v>
      </c>
      <c r="I82" s="11" t="n">
        <f aca="false">IF(G82="","",DATEVALUE(G82)-DATEVALUE(C82))</f>
        <v>53</v>
      </c>
      <c r="J82" s="11" t="n">
        <f aca="true">IF(G82="",TODAY()-DATEVALUE(D82),DATEVALUE(G82)-DATEVALUE(D82))</f>
        <v>8</v>
      </c>
      <c r="K82" s="11" t="str">
        <f aca="false">IF(J82&lt;=0,"Current",IF(J82&lt;=30,"1-30 days",IF(J82&lt;=60,"31-60 days",IF(J82&lt;=90,"61-90 days","90+ days"))))</f>
        <v>1-30 days</v>
      </c>
    </row>
    <row r="83" customFormat="false" ht="15" hidden="false" customHeight="false" outlineLevel="0" collapsed="false">
      <c r="A83" s="10" t="s">
        <v>324</v>
      </c>
      <c r="B83" s="10" t="s">
        <v>97</v>
      </c>
      <c r="C83" s="10" t="s">
        <v>325</v>
      </c>
      <c r="D83" s="10" t="s">
        <v>263</v>
      </c>
      <c r="E83" s="10" t="n">
        <v>45</v>
      </c>
      <c r="F83" s="10" t="n">
        <v>8834.3</v>
      </c>
      <c r="G83" s="10" t="s">
        <v>326</v>
      </c>
      <c r="H83" s="11" t="str">
        <f aca="false">IF(G83="","Open","Paid")</f>
        <v>Paid</v>
      </c>
      <c r="I83" s="11" t="n">
        <f aca="false">IF(G83="","",DATEVALUE(G83)-DATEVALUE(C83))</f>
        <v>35</v>
      </c>
      <c r="J83" s="11" t="n">
        <f aca="true">IF(G83="",TODAY()-DATEVALUE(D83),DATEVALUE(G83)-DATEVALUE(D83))</f>
        <v>-10</v>
      </c>
      <c r="K83" s="11" t="str">
        <f aca="false">IF(J83&lt;=0,"Current",IF(J83&lt;=30,"1-30 days",IF(J83&lt;=60,"31-60 days",IF(J83&lt;=90,"61-90 days","90+ days"))))</f>
        <v>Current</v>
      </c>
    </row>
    <row r="84" customFormat="false" ht="15" hidden="false" customHeight="false" outlineLevel="0" collapsed="false">
      <c r="A84" s="10" t="s">
        <v>327</v>
      </c>
      <c r="B84" s="10" t="s">
        <v>55</v>
      </c>
      <c r="C84" s="10" t="s">
        <v>328</v>
      </c>
      <c r="D84" s="10" t="s">
        <v>25</v>
      </c>
      <c r="E84" s="10" t="n">
        <v>60</v>
      </c>
      <c r="F84" s="10" t="n">
        <v>1723.7</v>
      </c>
      <c r="G84" s="10" t="s">
        <v>192</v>
      </c>
      <c r="H84" s="11" t="str">
        <f aca="false">IF(G84="","Open","Paid")</f>
        <v>Paid</v>
      </c>
      <c r="I84" s="11" t="n">
        <f aca="false">IF(G84="","",DATEVALUE(G84)-DATEVALUE(C84))</f>
        <v>53</v>
      </c>
      <c r="J84" s="11" t="n">
        <f aca="true">IF(G84="",TODAY()-DATEVALUE(D84),DATEVALUE(G84)-DATEVALUE(D84))</f>
        <v>-7</v>
      </c>
      <c r="K84" s="11" t="str">
        <f aca="false">IF(J84&lt;=0,"Current",IF(J84&lt;=30,"1-30 days",IF(J84&lt;=60,"31-60 days",IF(J84&lt;=90,"61-90 days","90+ days"))))</f>
        <v>Current</v>
      </c>
    </row>
    <row r="85" customFormat="false" ht="15" hidden="false" customHeight="false" outlineLevel="0" collapsed="false">
      <c r="A85" s="10" t="s">
        <v>329</v>
      </c>
      <c r="B85" s="10" t="s">
        <v>156</v>
      </c>
      <c r="C85" s="10" t="s">
        <v>330</v>
      </c>
      <c r="D85" s="10" t="s">
        <v>331</v>
      </c>
      <c r="E85" s="10" t="n">
        <v>30</v>
      </c>
      <c r="F85" s="10" t="n">
        <v>6294.91</v>
      </c>
      <c r="G85" s="10"/>
      <c r="H85" s="11" t="str">
        <f aca="false">IF(G85="","Open","Paid")</f>
        <v>Open</v>
      </c>
      <c r="I85" s="11" t="str">
        <f aca="false">IF(G85="","",DATEVALUE(G85)-DATEVALUE(C85))</f>
        <v/>
      </c>
      <c r="J85" s="11" t="n">
        <f aca="true">IF(G85="",TODAY()-DATEVALUE(D85),DATEVALUE(G85)-DATEVALUE(D85))</f>
        <v>33</v>
      </c>
      <c r="K85" s="11" t="str">
        <f aca="false">IF(J85&lt;=0,"Current",IF(J85&lt;=30,"1-30 days",IF(J85&lt;=60,"31-60 days",IF(J85&lt;=90,"61-90 days","90+ days"))))</f>
        <v>31-60 days</v>
      </c>
    </row>
    <row r="86" customFormat="false" ht="15" hidden="false" customHeight="false" outlineLevel="0" collapsed="false">
      <c r="A86" s="10" t="s">
        <v>332</v>
      </c>
      <c r="B86" s="10" t="s">
        <v>297</v>
      </c>
      <c r="C86" s="10" t="s">
        <v>333</v>
      </c>
      <c r="D86" s="10" t="s">
        <v>334</v>
      </c>
      <c r="E86" s="10" t="n">
        <v>30</v>
      </c>
      <c r="F86" s="10" t="n">
        <v>5506.63</v>
      </c>
      <c r="G86" s="10"/>
      <c r="H86" s="11" t="str">
        <f aca="false">IF(G86="","Open","Paid")</f>
        <v>Open</v>
      </c>
      <c r="I86" s="11" t="str">
        <f aca="false">IF(G86="","",DATEVALUE(G86)-DATEVALUE(C86))</f>
        <v/>
      </c>
      <c r="J86" s="11" t="n">
        <f aca="true">IF(G86="",TODAY()-DATEVALUE(D86),DATEVALUE(G86)-DATEVALUE(D86))</f>
        <v>-19</v>
      </c>
      <c r="K86" s="11" t="str">
        <f aca="false">IF(J86&lt;=0,"Current",IF(J86&lt;=30,"1-30 days",IF(J86&lt;=60,"31-60 days",IF(J86&lt;=90,"61-90 days","90+ days"))))</f>
        <v>Current</v>
      </c>
    </row>
    <row r="87" customFormat="false" ht="15" hidden="false" customHeight="false" outlineLevel="0" collapsed="false">
      <c r="A87" s="10" t="s">
        <v>335</v>
      </c>
      <c r="B87" s="10" t="s">
        <v>23</v>
      </c>
      <c r="C87" s="10" t="s">
        <v>336</v>
      </c>
      <c r="D87" s="10" t="s">
        <v>182</v>
      </c>
      <c r="E87" s="10" t="n">
        <v>45</v>
      </c>
      <c r="F87" s="10" t="n">
        <v>5986.71</v>
      </c>
      <c r="G87" s="10"/>
      <c r="H87" s="11" t="str">
        <f aca="false">IF(G87="","Open","Paid")</f>
        <v>Open</v>
      </c>
      <c r="I87" s="11" t="str">
        <f aca="false">IF(G87="","",DATEVALUE(G87)-DATEVALUE(C87))</f>
        <v/>
      </c>
      <c r="J87" s="11" t="n">
        <f aca="true">IF(G87="",TODAY()-DATEVALUE(D87),DATEVALUE(G87)-DATEVALUE(D87))</f>
        <v>-10</v>
      </c>
      <c r="K87" s="11" t="str">
        <f aca="false">IF(J87&lt;=0,"Current",IF(J87&lt;=30,"1-30 days",IF(J87&lt;=60,"31-60 days",IF(J87&lt;=90,"61-90 days","90+ days"))))</f>
        <v>Current</v>
      </c>
    </row>
    <row r="88" customFormat="false" ht="15" hidden="false" customHeight="false" outlineLevel="0" collapsed="false">
      <c r="A88" s="10" t="s">
        <v>337</v>
      </c>
      <c r="B88" s="10" t="s">
        <v>338</v>
      </c>
      <c r="C88" s="10" t="s">
        <v>339</v>
      </c>
      <c r="D88" s="10" t="s">
        <v>340</v>
      </c>
      <c r="E88" s="10" t="n">
        <v>30</v>
      </c>
      <c r="F88" s="10" t="n">
        <v>1742.44</v>
      </c>
      <c r="G88" s="10" t="s">
        <v>239</v>
      </c>
      <c r="H88" s="11" t="str">
        <f aca="false">IF(G88="","Open","Paid")</f>
        <v>Paid</v>
      </c>
      <c r="I88" s="11" t="n">
        <f aca="false">IF(G88="","",DATEVALUE(G88)-DATEVALUE(C88))</f>
        <v>20</v>
      </c>
      <c r="J88" s="11" t="n">
        <f aca="true">IF(G88="",TODAY()-DATEVALUE(D88),DATEVALUE(G88)-DATEVALUE(D88))</f>
        <v>-10</v>
      </c>
      <c r="K88" s="11" t="str">
        <f aca="false">IF(J88&lt;=0,"Current",IF(J88&lt;=30,"1-30 days",IF(J88&lt;=60,"31-60 days",IF(J88&lt;=90,"61-90 days","90+ days"))))</f>
        <v>Current</v>
      </c>
    </row>
    <row r="89" customFormat="false" ht="15" hidden="false" customHeight="false" outlineLevel="0" collapsed="false">
      <c r="A89" s="10" t="s">
        <v>341</v>
      </c>
      <c r="B89" s="10" t="s">
        <v>342</v>
      </c>
      <c r="C89" s="10" t="s">
        <v>343</v>
      </c>
      <c r="D89" s="10" t="s">
        <v>344</v>
      </c>
      <c r="E89" s="10" t="n">
        <v>45</v>
      </c>
      <c r="F89" s="10" t="n">
        <v>3964.3</v>
      </c>
      <c r="G89" s="10" t="s">
        <v>89</v>
      </c>
      <c r="H89" s="11" t="str">
        <f aca="false">IF(G89="","Open","Paid")</f>
        <v>Paid</v>
      </c>
      <c r="I89" s="11" t="n">
        <f aca="false">IF(G89="","",DATEVALUE(G89)-DATEVALUE(C89))</f>
        <v>37</v>
      </c>
      <c r="J89" s="11" t="n">
        <f aca="true">IF(G89="",TODAY()-DATEVALUE(D89),DATEVALUE(G89)-DATEVALUE(D89))</f>
        <v>-8</v>
      </c>
      <c r="K89" s="11" t="str">
        <f aca="false">IF(J89&lt;=0,"Current",IF(J89&lt;=30,"1-30 days",IF(J89&lt;=60,"31-60 days",IF(J89&lt;=90,"61-90 days","90+ days"))))</f>
        <v>Current</v>
      </c>
    </row>
    <row r="90" customFormat="false" ht="15" hidden="false" customHeight="false" outlineLevel="0" collapsed="false">
      <c r="A90" s="10" t="s">
        <v>345</v>
      </c>
      <c r="B90" s="10" t="s">
        <v>303</v>
      </c>
      <c r="C90" s="10" t="s">
        <v>301</v>
      </c>
      <c r="D90" s="10" t="s">
        <v>346</v>
      </c>
      <c r="E90" s="10" t="n">
        <v>30</v>
      </c>
      <c r="F90" s="10" t="n">
        <v>7840.56</v>
      </c>
      <c r="G90" s="10" t="s">
        <v>178</v>
      </c>
      <c r="H90" s="11" t="str">
        <f aca="false">IF(G90="","Open","Paid")</f>
        <v>Paid</v>
      </c>
      <c r="I90" s="11" t="n">
        <f aca="false">IF(G90="","",DATEVALUE(G90)-DATEVALUE(C90))</f>
        <v>22</v>
      </c>
      <c r="J90" s="11" t="n">
        <f aca="true">IF(G90="",TODAY()-DATEVALUE(D90),DATEVALUE(G90)-DATEVALUE(D90))</f>
        <v>-8</v>
      </c>
      <c r="K90" s="11" t="str">
        <f aca="false">IF(J90&lt;=0,"Current",IF(J90&lt;=30,"1-30 days",IF(J90&lt;=60,"31-60 days",IF(J90&lt;=90,"61-90 days","90+ days"))))</f>
        <v>Current</v>
      </c>
    </row>
    <row r="91" customFormat="false" ht="15" hidden="false" customHeight="false" outlineLevel="0" collapsed="false">
      <c r="A91" s="10" t="s">
        <v>347</v>
      </c>
      <c r="B91" s="10" t="s">
        <v>278</v>
      </c>
      <c r="C91" s="10" t="s">
        <v>348</v>
      </c>
      <c r="D91" s="10" t="s">
        <v>349</v>
      </c>
      <c r="E91" s="10" t="n">
        <v>30</v>
      </c>
      <c r="F91" s="10" t="n">
        <v>12242.07</v>
      </c>
      <c r="G91" s="10" t="s">
        <v>29</v>
      </c>
      <c r="H91" s="11" t="str">
        <f aca="false">IF(G91="","Open","Paid")</f>
        <v>Paid</v>
      </c>
      <c r="I91" s="11" t="n">
        <f aca="false">IF(G91="","",DATEVALUE(G91)-DATEVALUE(C91))</f>
        <v>23</v>
      </c>
      <c r="J91" s="11" t="n">
        <f aca="true">IF(G91="",TODAY()-DATEVALUE(D91),DATEVALUE(G91)-DATEVALUE(D91))</f>
        <v>-7</v>
      </c>
      <c r="K91" s="11" t="str">
        <f aca="false">IF(J91&lt;=0,"Current",IF(J91&lt;=30,"1-30 days",IF(J91&lt;=60,"31-60 days",IF(J91&lt;=90,"61-90 days","90+ days"))))</f>
        <v>Current</v>
      </c>
    </row>
    <row r="92" customFormat="false" ht="15" hidden="false" customHeight="false" outlineLevel="0" collapsed="false">
      <c r="A92" s="10" t="s">
        <v>350</v>
      </c>
      <c r="B92" s="10" t="s">
        <v>351</v>
      </c>
      <c r="C92" s="10" t="s">
        <v>231</v>
      </c>
      <c r="D92" s="10" t="s">
        <v>137</v>
      </c>
      <c r="E92" s="10" t="n">
        <v>30</v>
      </c>
      <c r="F92" s="10" t="n">
        <v>4484.62</v>
      </c>
      <c r="G92" s="10" t="s">
        <v>352</v>
      </c>
      <c r="H92" s="11" t="str">
        <f aca="false">IF(G92="","Open","Paid")</f>
        <v>Paid</v>
      </c>
      <c r="I92" s="11" t="n">
        <f aca="false">IF(G92="","",DATEVALUE(G92)-DATEVALUE(C92))</f>
        <v>43</v>
      </c>
      <c r="J92" s="11" t="n">
        <f aca="true">IF(G92="",TODAY()-DATEVALUE(D92),DATEVALUE(G92)-DATEVALUE(D92))</f>
        <v>13</v>
      </c>
      <c r="K92" s="11" t="str">
        <f aca="false">IF(J92&lt;=0,"Current",IF(J92&lt;=30,"1-30 days",IF(J92&lt;=60,"31-60 days",IF(J92&lt;=90,"61-90 days","90+ days"))))</f>
        <v>1-30 days</v>
      </c>
    </row>
    <row r="93" customFormat="false" ht="15" hidden="false" customHeight="false" outlineLevel="0" collapsed="false">
      <c r="A93" s="10" t="s">
        <v>353</v>
      </c>
      <c r="B93" s="10" t="s">
        <v>97</v>
      </c>
      <c r="C93" s="10" t="s">
        <v>39</v>
      </c>
      <c r="D93" s="10" t="s">
        <v>354</v>
      </c>
      <c r="E93" s="10" t="n">
        <v>45</v>
      </c>
      <c r="F93" s="10" t="n">
        <v>7425.21</v>
      </c>
      <c r="G93" s="10" t="s">
        <v>98</v>
      </c>
      <c r="H93" s="11" t="str">
        <f aca="false">IF(G93="","Open","Paid")</f>
        <v>Paid</v>
      </c>
      <c r="I93" s="11" t="n">
        <f aca="false">IF(G93="","",DATEVALUE(G93)-DATEVALUE(C93))</f>
        <v>52</v>
      </c>
      <c r="J93" s="11" t="n">
        <f aca="true">IF(G93="",TODAY()-DATEVALUE(D93),DATEVALUE(G93)-DATEVALUE(D93))</f>
        <v>7</v>
      </c>
      <c r="K93" s="11" t="str">
        <f aca="false">IF(J93&lt;=0,"Current",IF(J93&lt;=30,"1-30 days",IF(J93&lt;=60,"31-60 days",IF(J93&lt;=90,"61-90 days","90+ days"))))</f>
        <v>1-30 days</v>
      </c>
    </row>
    <row r="94" customFormat="false" ht="15" hidden="false" customHeight="false" outlineLevel="0" collapsed="false">
      <c r="A94" s="10" t="s">
        <v>355</v>
      </c>
      <c r="B94" s="10" t="s">
        <v>217</v>
      </c>
      <c r="C94" s="10" t="s">
        <v>251</v>
      </c>
      <c r="D94" s="10" t="s">
        <v>356</v>
      </c>
      <c r="E94" s="10" t="n">
        <v>30</v>
      </c>
      <c r="F94" s="10" t="n">
        <v>5194.72</v>
      </c>
      <c r="G94" s="10" t="s">
        <v>326</v>
      </c>
      <c r="H94" s="11" t="str">
        <f aca="false">IF(G94="","Open","Paid")</f>
        <v>Paid</v>
      </c>
      <c r="I94" s="11" t="n">
        <f aca="false">IF(G94="","",DATEVALUE(G94)-DATEVALUE(C94))</f>
        <v>50</v>
      </c>
      <c r="J94" s="11" t="n">
        <f aca="true">IF(G94="",TODAY()-DATEVALUE(D94),DATEVALUE(G94)-DATEVALUE(D94))</f>
        <v>20</v>
      </c>
      <c r="K94" s="11" t="str">
        <f aca="false">IF(J94&lt;=0,"Current",IF(J94&lt;=30,"1-30 days",IF(J94&lt;=60,"31-60 days",IF(J94&lt;=90,"61-90 days","90+ days"))))</f>
        <v>1-30 days</v>
      </c>
    </row>
    <row r="95" customFormat="false" ht="15" hidden="false" customHeight="false" outlineLevel="0" collapsed="false">
      <c r="A95" s="10" t="s">
        <v>357</v>
      </c>
      <c r="B95" s="10" t="s">
        <v>293</v>
      </c>
      <c r="C95" s="10" t="s">
        <v>31</v>
      </c>
      <c r="D95" s="10" t="s">
        <v>358</v>
      </c>
      <c r="E95" s="10" t="n">
        <v>30</v>
      </c>
      <c r="F95" s="10" t="n">
        <v>4627.85</v>
      </c>
      <c r="G95" s="10" t="s">
        <v>281</v>
      </c>
      <c r="H95" s="11" t="str">
        <f aca="false">IF(G95="","Open","Paid")</f>
        <v>Paid</v>
      </c>
      <c r="I95" s="11" t="n">
        <f aca="false">IF(G95="","",DATEVALUE(G95)-DATEVALUE(C95))</f>
        <v>57</v>
      </c>
      <c r="J95" s="11" t="n">
        <f aca="true">IF(G95="",TODAY()-DATEVALUE(D95),DATEVALUE(G95)-DATEVALUE(D95))</f>
        <v>27</v>
      </c>
      <c r="K95" s="11" t="str">
        <f aca="false">IF(J95&lt;=0,"Current",IF(J95&lt;=30,"1-30 days",IF(J95&lt;=60,"31-60 days",IF(J95&lt;=90,"61-90 days","90+ days"))))</f>
        <v>1-30 days</v>
      </c>
    </row>
    <row r="96" customFormat="false" ht="15" hidden="false" customHeight="false" outlineLevel="0" collapsed="false">
      <c r="A96" s="10" t="s">
        <v>359</v>
      </c>
      <c r="B96" s="10" t="s">
        <v>23</v>
      </c>
      <c r="C96" s="10" t="s">
        <v>141</v>
      </c>
      <c r="D96" s="10" t="s">
        <v>165</v>
      </c>
      <c r="E96" s="10" t="n">
        <v>30</v>
      </c>
      <c r="F96" s="10" t="n">
        <v>3681.87</v>
      </c>
      <c r="G96" s="10" t="s">
        <v>121</v>
      </c>
      <c r="H96" s="11" t="str">
        <f aca="false">IF(G96="","Open","Paid")</f>
        <v>Paid</v>
      </c>
      <c r="I96" s="11" t="n">
        <f aca="false">IF(G96="","",DATEVALUE(G96)-DATEVALUE(C96))</f>
        <v>17</v>
      </c>
      <c r="J96" s="11" t="n">
        <f aca="true">IF(G96="",TODAY()-DATEVALUE(D96),DATEVALUE(G96)-DATEVALUE(D96))</f>
        <v>-13</v>
      </c>
      <c r="K96" s="11" t="str">
        <f aca="false">IF(J96&lt;=0,"Current",IF(J96&lt;=30,"1-30 days",IF(J96&lt;=60,"31-60 days",IF(J96&lt;=90,"61-90 days","90+ days"))))</f>
        <v>Current</v>
      </c>
    </row>
    <row r="97" customFormat="false" ht="15" hidden="false" customHeight="false" outlineLevel="0" collapsed="false">
      <c r="A97" s="10" t="s">
        <v>360</v>
      </c>
      <c r="B97" s="10" t="s">
        <v>106</v>
      </c>
      <c r="C97" s="10" t="s">
        <v>111</v>
      </c>
      <c r="D97" s="10" t="s">
        <v>361</v>
      </c>
      <c r="E97" s="10" t="n">
        <v>30</v>
      </c>
      <c r="F97" s="10" t="n">
        <v>4808.8</v>
      </c>
      <c r="G97" s="10" t="s">
        <v>362</v>
      </c>
      <c r="H97" s="11" t="str">
        <f aca="false">IF(G97="","Open","Paid")</f>
        <v>Paid</v>
      </c>
      <c r="I97" s="11" t="n">
        <f aca="false">IF(G97="","",DATEVALUE(G97)-DATEVALUE(C97))</f>
        <v>75</v>
      </c>
      <c r="J97" s="11" t="n">
        <f aca="true">IF(G97="",TODAY()-DATEVALUE(D97),DATEVALUE(G97)-DATEVALUE(D97))</f>
        <v>45</v>
      </c>
      <c r="K97" s="11" t="str">
        <f aca="false">IF(J97&lt;=0,"Current",IF(J97&lt;=30,"1-30 days",IF(J97&lt;=60,"31-60 days",IF(J97&lt;=90,"61-90 days","90+ days"))))</f>
        <v>31-60 days</v>
      </c>
    </row>
    <row r="98" customFormat="false" ht="15" hidden="false" customHeight="false" outlineLevel="0" collapsed="false">
      <c r="A98" s="10" t="s">
        <v>363</v>
      </c>
      <c r="B98" s="10" t="s">
        <v>315</v>
      </c>
      <c r="C98" s="10" t="s">
        <v>89</v>
      </c>
      <c r="D98" s="10" t="s">
        <v>364</v>
      </c>
      <c r="E98" s="10" t="n">
        <v>30</v>
      </c>
      <c r="F98" s="10" t="n">
        <v>7051.31</v>
      </c>
      <c r="G98" s="10" t="s">
        <v>205</v>
      </c>
      <c r="H98" s="11" t="str">
        <f aca="false">IF(G98="","Open","Paid")</f>
        <v>Paid</v>
      </c>
      <c r="I98" s="11" t="n">
        <f aca="false">IF(G98="","",DATEVALUE(G98)-DATEVALUE(C98))</f>
        <v>51</v>
      </c>
      <c r="J98" s="11" t="n">
        <f aca="true">IF(G98="",TODAY()-DATEVALUE(D98),DATEVALUE(G98)-DATEVALUE(D98))</f>
        <v>21</v>
      </c>
      <c r="K98" s="11" t="str">
        <f aca="false">IF(J98&lt;=0,"Current",IF(J98&lt;=30,"1-30 days",IF(J98&lt;=60,"31-60 days",IF(J98&lt;=90,"61-90 days","90+ days"))))</f>
        <v>1-30 days</v>
      </c>
    </row>
    <row r="99" customFormat="false" ht="15" hidden="false" customHeight="false" outlineLevel="0" collapsed="false">
      <c r="A99" s="10" t="s">
        <v>365</v>
      </c>
      <c r="B99" s="10" t="s">
        <v>366</v>
      </c>
      <c r="C99" s="10" t="s">
        <v>367</v>
      </c>
      <c r="D99" s="10" t="s">
        <v>368</v>
      </c>
      <c r="E99" s="10" t="n">
        <v>45</v>
      </c>
      <c r="F99" s="10" t="n">
        <v>7383.71</v>
      </c>
      <c r="G99" s="10"/>
      <c r="H99" s="11" t="str">
        <f aca="false">IF(G99="","Open","Paid")</f>
        <v>Open</v>
      </c>
      <c r="I99" s="11" t="str">
        <f aca="false">IF(G99="","",DATEVALUE(G99)-DATEVALUE(C99))</f>
        <v/>
      </c>
      <c r="J99" s="11" t="n">
        <f aca="true">IF(G99="",TODAY()-DATEVALUE(D99),DATEVALUE(G99)-DATEVALUE(D99))</f>
        <v>-11</v>
      </c>
      <c r="K99" s="11" t="str">
        <f aca="false">IF(J99&lt;=0,"Current",IF(J99&lt;=30,"1-30 days",IF(J99&lt;=60,"31-60 days",IF(J99&lt;=90,"61-90 days","90+ days"))))</f>
        <v>Current</v>
      </c>
    </row>
    <row r="100" customFormat="false" ht="15" hidden="false" customHeight="false" outlineLevel="0" collapsed="false">
      <c r="A100" s="10" t="s">
        <v>369</v>
      </c>
      <c r="B100" s="10" t="s">
        <v>23</v>
      </c>
      <c r="C100" s="10" t="s">
        <v>230</v>
      </c>
      <c r="D100" s="10" t="s">
        <v>352</v>
      </c>
      <c r="E100" s="10" t="n">
        <v>30</v>
      </c>
      <c r="F100" s="10" t="n">
        <v>2008.4</v>
      </c>
      <c r="G100" s="10" t="s">
        <v>226</v>
      </c>
      <c r="H100" s="11" t="str">
        <f aca="false">IF(G100="","Open","Paid")</f>
        <v>Paid</v>
      </c>
      <c r="I100" s="11" t="n">
        <f aca="false">IF(G100="","",DATEVALUE(G100)-DATEVALUE(C100))</f>
        <v>22</v>
      </c>
      <c r="J100" s="11" t="n">
        <f aca="true">IF(G100="",TODAY()-DATEVALUE(D100),DATEVALUE(G100)-DATEVALUE(D100))</f>
        <v>-8</v>
      </c>
      <c r="K100" s="11" t="str">
        <f aca="false">IF(J100&lt;=0,"Current",IF(J100&lt;=30,"1-30 days",IF(J100&lt;=60,"31-60 days",IF(J100&lt;=90,"61-90 days","90+ days"))))</f>
        <v>Current</v>
      </c>
    </row>
    <row r="101" customFormat="false" ht="15" hidden="false" customHeight="false" outlineLevel="0" collapsed="false">
      <c r="A101" s="10" t="s">
        <v>370</v>
      </c>
      <c r="B101" s="10" t="s">
        <v>28</v>
      </c>
      <c r="C101" s="10" t="s">
        <v>371</v>
      </c>
      <c r="D101" s="10" t="s">
        <v>372</v>
      </c>
      <c r="E101" s="10" t="n">
        <v>45</v>
      </c>
      <c r="F101" s="10" t="n">
        <v>3473.44</v>
      </c>
      <c r="G101" s="10" t="s">
        <v>373</v>
      </c>
      <c r="H101" s="11" t="str">
        <f aca="false">IF(G101="","Open","Paid")</f>
        <v>Paid</v>
      </c>
      <c r="I101" s="11" t="n">
        <f aca="false">IF(G101="","",DATEVALUE(G101)-DATEVALUE(C101))</f>
        <v>32</v>
      </c>
      <c r="J101" s="11" t="n">
        <f aca="true">IF(G101="",TODAY()-DATEVALUE(D101),DATEVALUE(G101)-DATEVALUE(D101))</f>
        <v>-13</v>
      </c>
      <c r="K101" s="11" t="str">
        <f aca="false">IF(J101&lt;=0,"Current",IF(J101&lt;=30,"1-30 days",IF(J101&lt;=60,"31-60 days",IF(J101&lt;=90,"61-90 days","90+ days"))))</f>
        <v>Current</v>
      </c>
    </row>
    <row r="102" customFormat="false" ht="15" hidden="false" customHeight="false" outlineLevel="0" collapsed="false">
      <c r="A102" s="10" t="s">
        <v>374</v>
      </c>
      <c r="B102" s="10" t="s">
        <v>217</v>
      </c>
      <c r="C102" s="10" t="s">
        <v>375</v>
      </c>
      <c r="D102" s="10" t="s">
        <v>320</v>
      </c>
      <c r="E102" s="10" t="n">
        <v>45</v>
      </c>
      <c r="F102" s="10" t="n">
        <v>2336.89</v>
      </c>
      <c r="G102" s="10" t="s">
        <v>376</v>
      </c>
      <c r="H102" s="11" t="str">
        <f aca="false">IF(G102="","Open","Paid")</f>
        <v>Paid</v>
      </c>
      <c r="I102" s="11" t="n">
        <f aca="false">IF(G102="","",DATEVALUE(G102)-DATEVALUE(C102))</f>
        <v>54</v>
      </c>
      <c r="J102" s="11" t="n">
        <f aca="true">IF(G102="",TODAY()-DATEVALUE(D102),DATEVALUE(G102)-DATEVALUE(D102))</f>
        <v>9</v>
      </c>
      <c r="K102" s="11" t="str">
        <f aca="false">IF(J102&lt;=0,"Current",IF(J102&lt;=30,"1-30 days",IF(J102&lt;=60,"31-60 days",IF(J102&lt;=90,"61-90 days","90+ days"))))</f>
        <v>1-30 days</v>
      </c>
    </row>
    <row r="103" customFormat="false" ht="15" hidden="false" customHeight="false" outlineLevel="0" collapsed="false">
      <c r="A103" s="10" t="s">
        <v>377</v>
      </c>
      <c r="B103" s="10" t="s">
        <v>28</v>
      </c>
      <c r="C103" s="10" t="s">
        <v>84</v>
      </c>
      <c r="D103" s="10" t="s">
        <v>378</v>
      </c>
      <c r="E103" s="10" t="n">
        <v>30</v>
      </c>
      <c r="F103" s="10" t="n">
        <v>4955</v>
      </c>
      <c r="G103" s="10" t="s">
        <v>194</v>
      </c>
      <c r="H103" s="11" t="str">
        <f aca="false">IF(G103="","Open","Paid")</f>
        <v>Paid</v>
      </c>
      <c r="I103" s="11" t="n">
        <f aca="false">IF(G103="","",DATEVALUE(G103)-DATEVALUE(C103))</f>
        <v>28</v>
      </c>
      <c r="J103" s="11" t="n">
        <f aca="true">IF(G103="",TODAY()-DATEVALUE(D103),DATEVALUE(G103)-DATEVALUE(D103))</f>
        <v>-2</v>
      </c>
      <c r="K103" s="11" t="str">
        <f aca="false">IF(J103&lt;=0,"Current",IF(J103&lt;=30,"1-30 days",IF(J103&lt;=60,"31-60 days",IF(J103&lt;=90,"61-90 days","90+ days"))))</f>
        <v>Current</v>
      </c>
    </row>
    <row r="104" customFormat="false" ht="15" hidden="false" customHeight="false" outlineLevel="0" collapsed="false">
      <c r="A104" s="10" t="s">
        <v>379</v>
      </c>
      <c r="B104" s="10" t="s">
        <v>233</v>
      </c>
      <c r="C104" s="10" t="s">
        <v>214</v>
      </c>
      <c r="D104" s="10" t="s">
        <v>380</v>
      </c>
      <c r="E104" s="10" t="n">
        <v>30</v>
      </c>
      <c r="F104" s="10" t="n">
        <v>3876.43</v>
      </c>
      <c r="G104" s="10" t="s">
        <v>281</v>
      </c>
      <c r="H104" s="11" t="str">
        <f aca="false">IF(G104="","Open","Paid")</f>
        <v>Paid</v>
      </c>
      <c r="I104" s="11" t="n">
        <f aca="false">IF(G104="","",DATEVALUE(G104)-DATEVALUE(C104))</f>
        <v>15</v>
      </c>
      <c r="J104" s="11" t="n">
        <f aca="true">IF(G104="",TODAY()-DATEVALUE(D104),DATEVALUE(G104)-DATEVALUE(D104))</f>
        <v>-15</v>
      </c>
      <c r="K104" s="11" t="str">
        <f aca="false">IF(J104&lt;=0,"Current",IF(J104&lt;=30,"1-30 days",IF(J104&lt;=60,"31-60 days",IF(J104&lt;=90,"61-90 days","90+ days"))))</f>
        <v>Current</v>
      </c>
    </row>
    <row r="105" customFormat="false" ht="15" hidden="false" customHeight="false" outlineLevel="0" collapsed="false">
      <c r="A105" s="10" t="s">
        <v>381</v>
      </c>
      <c r="B105" s="10" t="s">
        <v>270</v>
      </c>
      <c r="C105" s="10" t="s">
        <v>159</v>
      </c>
      <c r="D105" s="10" t="s">
        <v>160</v>
      </c>
      <c r="E105" s="10" t="n">
        <v>45</v>
      </c>
      <c r="F105" s="10" t="n">
        <v>5869.94</v>
      </c>
      <c r="G105" s="10" t="s">
        <v>382</v>
      </c>
      <c r="H105" s="11" t="str">
        <f aca="false">IF(G105="","Open","Paid")</f>
        <v>Paid</v>
      </c>
      <c r="I105" s="11" t="n">
        <f aca="false">IF(G105="","",DATEVALUE(G105)-DATEVALUE(C105))</f>
        <v>55</v>
      </c>
      <c r="J105" s="11" t="n">
        <f aca="true">IF(G105="",TODAY()-DATEVALUE(D105),DATEVALUE(G105)-DATEVALUE(D105))</f>
        <v>10</v>
      </c>
      <c r="K105" s="11" t="str">
        <f aca="false">IF(J105&lt;=0,"Current",IF(J105&lt;=30,"1-30 days",IF(J105&lt;=60,"31-60 days",IF(J105&lt;=90,"61-90 days","90+ days"))))</f>
        <v>1-30 days</v>
      </c>
    </row>
    <row r="106" customFormat="false" ht="15" hidden="false" customHeight="false" outlineLevel="0" collapsed="false">
      <c r="A106" s="10" t="s">
        <v>383</v>
      </c>
      <c r="B106" s="10" t="s">
        <v>139</v>
      </c>
      <c r="C106" s="10" t="s">
        <v>133</v>
      </c>
      <c r="D106" s="10" t="s">
        <v>39</v>
      </c>
      <c r="E106" s="10" t="n">
        <v>30</v>
      </c>
      <c r="F106" s="10" t="n">
        <v>6108.23</v>
      </c>
      <c r="G106" s="10" t="s">
        <v>298</v>
      </c>
      <c r="H106" s="11" t="str">
        <f aca="false">IF(G106="","Open","Paid")</f>
        <v>Paid</v>
      </c>
      <c r="I106" s="11" t="n">
        <f aca="false">IF(G106="","",DATEVALUE(G106)-DATEVALUE(C106))</f>
        <v>18</v>
      </c>
      <c r="J106" s="11" t="n">
        <f aca="true">IF(G106="",TODAY()-DATEVALUE(D106),DATEVALUE(G106)-DATEVALUE(D106))</f>
        <v>-12</v>
      </c>
      <c r="K106" s="11" t="str">
        <f aca="false">IF(J106&lt;=0,"Current",IF(J106&lt;=30,"1-30 days",IF(J106&lt;=60,"31-60 days",IF(J106&lt;=90,"61-90 days","90+ days"))))</f>
        <v>Current</v>
      </c>
    </row>
    <row r="107" customFormat="false" ht="15" hidden="false" customHeight="false" outlineLevel="0" collapsed="false">
      <c r="A107" s="10" t="s">
        <v>384</v>
      </c>
      <c r="B107" s="10" t="s">
        <v>73</v>
      </c>
      <c r="C107" s="10" t="s">
        <v>209</v>
      </c>
      <c r="D107" s="10" t="s">
        <v>116</v>
      </c>
      <c r="E107" s="10" t="n">
        <v>30</v>
      </c>
      <c r="F107" s="10" t="n">
        <v>820.43</v>
      </c>
      <c r="G107" s="10" t="s">
        <v>385</v>
      </c>
      <c r="H107" s="11" t="str">
        <f aca="false">IF(G107="","Open","Paid")</f>
        <v>Paid</v>
      </c>
      <c r="I107" s="11" t="n">
        <f aca="false">IF(G107="","",DATEVALUE(G107)-DATEVALUE(C107))</f>
        <v>63</v>
      </c>
      <c r="J107" s="11" t="n">
        <f aca="true">IF(G107="",TODAY()-DATEVALUE(D107),DATEVALUE(G107)-DATEVALUE(D107))</f>
        <v>33</v>
      </c>
      <c r="K107" s="11" t="str">
        <f aca="false">IF(J107&lt;=0,"Current",IF(J107&lt;=30,"1-30 days",IF(J107&lt;=60,"31-60 days",IF(J107&lt;=90,"61-90 days","90+ days"))))</f>
        <v>31-60 days</v>
      </c>
    </row>
    <row r="108" customFormat="false" ht="15" hidden="false" customHeight="false" outlineLevel="0" collapsed="false">
      <c r="A108" s="10" t="s">
        <v>386</v>
      </c>
      <c r="B108" s="10" t="s">
        <v>73</v>
      </c>
      <c r="C108" s="10" t="s">
        <v>65</v>
      </c>
      <c r="D108" s="10" t="s">
        <v>215</v>
      </c>
      <c r="E108" s="10" t="n">
        <v>60</v>
      </c>
      <c r="F108" s="10" t="n">
        <v>4786.39</v>
      </c>
      <c r="G108" s="10" t="s">
        <v>141</v>
      </c>
      <c r="H108" s="11" t="str">
        <f aca="false">IF(G108="","Open","Paid")</f>
        <v>Paid</v>
      </c>
      <c r="I108" s="11" t="n">
        <f aca="false">IF(G108="","",DATEVALUE(G108)-DATEVALUE(C108))</f>
        <v>54</v>
      </c>
      <c r="J108" s="11" t="n">
        <f aca="true">IF(G108="",TODAY()-DATEVALUE(D108),DATEVALUE(G108)-DATEVALUE(D108))</f>
        <v>-6</v>
      </c>
      <c r="K108" s="11" t="str">
        <f aca="false">IF(J108&lt;=0,"Current",IF(J108&lt;=30,"1-30 days",IF(J108&lt;=60,"31-60 days",IF(J108&lt;=90,"61-90 days","90+ days"))))</f>
        <v>Current</v>
      </c>
    </row>
    <row r="109" customFormat="false" ht="15" hidden="false" customHeight="false" outlineLevel="0" collapsed="false">
      <c r="A109" s="10" t="s">
        <v>387</v>
      </c>
      <c r="B109" s="10" t="s">
        <v>388</v>
      </c>
      <c r="C109" s="10" t="s">
        <v>120</v>
      </c>
      <c r="D109" s="10" t="s">
        <v>389</v>
      </c>
      <c r="E109" s="10" t="n">
        <v>60</v>
      </c>
      <c r="F109" s="10" t="n">
        <v>9205.59</v>
      </c>
      <c r="G109" s="10" t="s">
        <v>389</v>
      </c>
      <c r="H109" s="11" t="str">
        <f aca="false">IF(G109="","Open","Paid")</f>
        <v>Paid</v>
      </c>
      <c r="I109" s="11" t="n">
        <f aca="false">IF(G109="","",DATEVALUE(G109)-DATEVALUE(C109))</f>
        <v>60</v>
      </c>
      <c r="J109" s="11" t="n">
        <f aca="true">IF(G109="",TODAY()-DATEVALUE(D109),DATEVALUE(G109)-DATEVALUE(D109))</f>
        <v>0</v>
      </c>
      <c r="K109" s="11" t="str">
        <f aca="false">IF(J109&lt;=0,"Current",IF(J109&lt;=30,"1-30 days",IF(J109&lt;=60,"31-60 days",IF(J109&lt;=90,"61-90 days","90+ days"))))</f>
        <v>Current</v>
      </c>
    </row>
    <row r="110" customFormat="false" ht="15" hidden="false" customHeight="false" outlineLevel="0" collapsed="false">
      <c r="A110" s="10" t="s">
        <v>390</v>
      </c>
      <c r="B110" s="10" t="s">
        <v>139</v>
      </c>
      <c r="C110" s="10" t="s">
        <v>391</v>
      </c>
      <c r="D110" s="10" t="s">
        <v>392</v>
      </c>
      <c r="E110" s="10" t="n">
        <v>45</v>
      </c>
      <c r="F110" s="10" t="n">
        <v>3474.35</v>
      </c>
      <c r="G110" s="10" t="s">
        <v>393</v>
      </c>
      <c r="H110" s="11" t="str">
        <f aca="false">IF(G110="","Open","Paid")</f>
        <v>Paid</v>
      </c>
      <c r="I110" s="11" t="n">
        <f aca="false">IF(G110="","",DATEVALUE(G110)-DATEVALUE(C110))</f>
        <v>29</v>
      </c>
      <c r="J110" s="11" t="n">
        <f aca="true">IF(G110="",TODAY()-DATEVALUE(D110),DATEVALUE(G110)-DATEVALUE(D110))</f>
        <v>-16</v>
      </c>
      <c r="K110" s="11" t="str">
        <f aca="false">IF(J110&lt;=0,"Current",IF(J110&lt;=30,"1-30 days",IF(J110&lt;=60,"31-60 days",IF(J110&lt;=90,"61-90 days","90+ days"))))</f>
        <v>Current</v>
      </c>
    </row>
    <row r="111" customFormat="false" ht="15" hidden="false" customHeight="false" outlineLevel="0" collapsed="false">
      <c r="A111" s="10" t="s">
        <v>394</v>
      </c>
      <c r="B111" s="10" t="s">
        <v>315</v>
      </c>
      <c r="C111" s="10" t="s">
        <v>395</v>
      </c>
      <c r="D111" s="10" t="s">
        <v>396</v>
      </c>
      <c r="E111" s="10" t="n">
        <v>30</v>
      </c>
      <c r="F111" s="10" t="n">
        <v>3409.46</v>
      </c>
      <c r="G111" s="10" t="s">
        <v>84</v>
      </c>
      <c r="H111" s="11" t="str">
        <f aca="false">IF(G111="","Open","Paid")</f>
        <v>Paid</v>
      </c>
      <c r="I111" s="11" t="n">
        <f aca="false">IF(G111="","",DATEVALUE(G111)-DATEVALUE(C111))</f>
        <v>74</v>
      </c>
      <c r="J111" s="11" t="n">
        <f aca="true">IF(G111="",TODAY()-DATEVALUE(D111),DATEVALUE(G111)-DATEVALUE(D111))</f>
        <v>44</v>
      </c>
      <c r="K111" s="11" t="str">
        <f aca="false">IF(J111&lt;=0,"Current",IF(J111&lt;=30,"1-30 days",IF(J111&lt;=60,"31-60 days",IF(J111&lt;=90,"61-90 days","90+ days"))))</f>
        <v>31-60 days</v>
      </c>
    </row>
    <row r="112" customFormat="false" ht="15" hidden="false" customHeight="false" outlineLevel="0" collapsed="false">
      <c r="A112" s="10" t="s">
        <v>397</v>
      </c>
      <c r="B112" s="10" t="s">
        <v>114</v>
      </c>
      <c r="C112" s="10" t="s">
        <v>398</v>
      </c>
      <c r="D112" s="10" t="s">
        <v>399</v>
      </c>
      <c r="E112" s="10" t="n">
        <v>45</v>
      </c>
      <c r="F112" s="10" t="n">
        <v>8321.27</v>
      </c>
      <c r="G112" s="10" t="s">
        <v>400</v>
      </c>
      <c r="H112" s="11" t="str">
        <f aca="false">IF(G112="","Open","Paid")</f>
        <v>Paid</v>
      </c>
      <c r="I112" s="11" t="n">
        <f aca="false">IF(G112="","",DATEVALUE(G112)-DATEVALUE(C112))</f>
        <v>58</v>
      </c>
      <c r="J112" s="11" t="n">
        <f aca="true">IF(G112="",TODAY()-DATEVALUE(D112),DATEVALUE(G112)-DATEVALUE(D112))</f>
        <v>13</v>
      </c>
      <c r="K112" s="11" t="str">
        <f aca="false">IF(J112&lt;=0,"Current",IF(J112&lt;=30,"1-30 days",IF(J112&lt;=60,"31-60 days",IF(J112&lt;=90,"61-90 days","90+ days"))))</f>
        <v>1-30 days</v>
      </c>
    </row>
    <row r="113" customFormat="false" ht="15" hidden="false" customHeight="false" outlineLevel="0" collapsed="false">
      <c r="A113" s="10" t="s">
        <v>401</v>
      </c>
      <c r="B113" s="10" t="s">
        <v>233</v>
      </c>
      <c r="C113" s="10" t="s">
        <v>164</v>
      </c>
      <c r="D113" s="10" t="s">
        <v>346</v>
      </c>
      <c r="E113" s="10" t="n">
        <v>45</v>
      </c>
      <c r="F113" s="10" t="n">
        <v>7579.02</v>
      </c>
      <c r="G113" s="10" t="s">
        <v>137</v>
      </c>
      <c r="H113" s="11" t="str">
        <f aca="false">IF(G113="","Open","Paid")</f>
        <v>Paid</v>
      </c>
      <c r="I113" s="11" t="n">
        <f aca="false">IF(G113="","",DATEVALUE(G113)-DATEVALUE(C113))</f>
        <v>48</v>
      </c>
      <c r="J113" s="11" t="n">
        <f aca="true">IF(G113="",TODAY()-DATEVALUE(D113),DATEVALUE(G113)-DATEVALUE(D113))</f>
        <v>3</v>
      </c>
      <c r="K113" s="11" t="str">
        <f aca="false">IF(J113&lt;=0,"Current",IF(J113&lt;=30,"1-30 days",IF(J113&lt;=60,"31-60 days",IF(J113&lt;=90,"61-90 days","90+ days"))))</f>
        <v>1-30 days</v>
      </c>
    </row>
    <row r="114" customFormat="false" ht="15" hidden="false" customHeight="false" outlineLevel="0" collapsed="false">
      <c r="A114" s="10" t="s">
        <v>402</v>
      </c>
      <c r="B114" s="10" t="s">
        <v>221</v>
      </c>
      <c r="C114" s="10" t="s">
        <v>403</v>
      </c>
      <c r="D114" s="10" t="s">
        <v>281</v>
      </c>
      <c r="E114" s="10" t="n">
        <v>30</v>
      </c>
      <c r="F114" s="10" t="n">
        <v>2504.94</v>
      </c>
      <c r="G114" s="10" t="s">
        <v>404</v>
      </c>
      <c r="H114" s="11" t="str">
        <f aca="false">IF(G114="","Open","Paid")</f>
        <v>Paid</v>
      </c>
      <c r="I114" s="11" t="n">
        <f aca="false">IF(G114="","",DATEVALUE(G114)-DATEVALUE(C114))</f>
        <v>13</v>
      </c>
      <c r="J114" s="11" t="n">
        <f aca="true">IF(G114="",TODAY()-DATEVALUE(D114),DATEVALUE(G114)-DATEVALUE(D114))</f>
        <v>-17</v>
      </c>
      <c r="K114" s="11" t="str">
        <f aca="false">IF(J114&lt;=0,"Current",IF(J114&lt;=30,"1-30 days",IF(J114&lt;=60,"31-60 days",IF(J114&lt;=90,"61-90 days","90+ days"))))</f>
        <v>Current</v>
      </c>
    </row>
    <row r="115" customFormat="false" ht="15" hidden="false" customHeight="false" outlineLevel="0" collapsed="false">
      <c r="A115" s="10" t="s">
        <v>405</v>
      </c>
      <c r="B115" s="10" t="s">
        <v>151</v>
      </c>
      <c r="C115" s="10" t="s">
        <v>154</v>
      </c>
      <c r="D115" s="10" t="s">
        <v>398</v>
      </c>
      <c r="E115" s="10" t="n">
        <v>45</v>
      </c>
      <c r="F115" s="10" t="n">
        <v>7160.07</v>
      </c>
      <c r="G115" s="10" t="s">
        <v>65</v>
      </c>
      <c r="H115" s="11" t="str">
        <f aca="false">IF(G115="","Open","Paid")</f>
        <v>Paid</v>
      </c>
      <c r="I115" s="11" t="n">
        <f aca="false">IF(G115="","",DATEVALUE(G115)-DATEVALUE(C115))</f>
        <v>47</v>
      </c>
      <c r="J115" s="11" t="n">
        <f aca="true">IF(G115="",TODAY()-DATEVALUE(D115),DATEVALUE(G115)-DATEVALUE(D115))</f>
        <v>2</v>
      </c>
      <c r="K115" s="11" t="str">
        <f aca="false">IF(J115&lt;=0,"Current",IF(J115&lt;=30,"1-30 days",IF(J115&lt;=60,"31-60 days",IF(J115&lt;=90,"61-90 days","90+ days"))))</f>
        <v>1-30 days</v>
      </c>
    </row>
    <row r="116" customFormat="false" ht="15" hidden="false" customHeight="false" outlineLevel="0" collapsed="false">
      <c r="A116" s="10" t="s">
        <v>406</v>
      </c>
      <c r="B116" s="10" t="s">
        <v>351</v>
      </c>
      <c r="C116" s="10" t="s">
        <v>407</v>
      </c>
      <c r="D116" s="10" t="s">
        <v>43</v>
      </c>
      <c r="E116" s="10" t="n">
        <v>30</v>
      </c>
      <c r="F116" s="10" t="n">
        <v>2889.83</v>
      </c>
      <c r="G116" s="10" t="s">
        <v>408</v>
      </c>
      <c r="H116" s="11" t="str">
        <f aca="false">IF(G116="","Open","Paid")</f>
        <v>Paid</v>
      </c>
      <c r="I116" s="11" t="n">
        <f aca="false">IF(G116="","",DATEVALUE(G116)-DATEVALUE(C116))</f>
        <v>16</v>
      </c>
      <c r="J116" s="11" t="n">
        <f aca="true">IF(G116="",TODAY()-DATEVALUE(D116),DATEVALUE(G116)-DATEVALUE(D116))</f>
        <v>-14</v>
      </c>
      <c r="K116" s="11" t="str">
        <f aca="false">IF(J116&lt;=0,"Current",IF(J116&lt;=30,"1-30 days",IF(J116&lt;=60,"31-60 days",IF(J116&lt;=90,"61-90 days","90+ days"))))</f>
        <v>Current</v>
      </c>
    </row>
    <row r="117" customFormat="false" ht="15" hidden="false" customHeight="false" outlineLevel="0" collapsed="false">
      <c r="A117" s="10" t="s">
        <v>409</v>
      </c>
      <c r="B117" s="10" t="s">
        <v>114</v>
      </c>
      <c r="C117" s="10" t="s">
        <v>410</v>
      </c>
      <c r="D117" s="10" t="s">
        <v>24</v>
      </c>
      <c r="E117" s="10" t="n">
        <v>30</v>
      </c>
      <c r="F117" s="10" t="n">
        <v>3386.7</v>
      </c>
      <c r="G117" s="10" t="s">
        <v>237</v>
      </c>
      <c r="H117" s="11" t="str">
        <f aca="false">IF(G117="","Open","Paid")</f>
        <v>Paid</v>
      </c>
      <c r="I117" s="11" t="n">
        <f aca="false">IF(G117="","",DATEVALUE(G117)-DATEVALUE(C117))</f>
        <v>47</v>
      </c>
      <c r="J117" s="11" t="n">
        <f aca="true">IF(G117="",TODAY()-DATEVALUE(D117),DATEVALUE(G117)-DATEVALUE(D117))</f>
        <v>17</v>
      </c>
      <c r="K117" s="11" t="str">
        <f aca="false">IF(J117&lt;=0,"Current",IF(J117&lt;=30,"1-30 days",IF(J117&lt;=60,"31-60 days",IF(J117&lt;=90,"61-90 days","90+ days"))))</f>
        <v>1-30 days</v>
      </c>
    </row>
    <row r="118" customFormat="false" ht="15" hidden="false" customHeight="false" outlineLevel="0" collapsed="false">
      <c r="A118" s="10" t="s">
        <v>411</v>
      </c>
      <c r="B118" s="10" t="s">
        <v>144</v>
      </c>
      <c r="C118" s="10" t="s">
        <v>376</v>
      </c>
      <c r="D118" s="10" t="s">
        <v>412</v>
      </c>
      <c r="E118" s="10" t="n">
        <v>30</v>
      </c>
      <c r="F118" s="10" t="n">
        <v>2503.35</v>
      </c>
      <c r="G118" s="10" t="s">
        <v>413</v>
      </c>
      <c r="H118" s="11" t="str">
        <f aca="false">IF(G118="","Open","Paid")</f>
        <v>Paid</v>
      </c>
      <c r="I118" s="11" t="n">
        <f aca="false">IF(G118="","",DATEVALUE(G118)-DATEVALUE(C118))</f>
        <v>39</v>
      </c>
      <c r="J118" s="11" t="n">
        <f aca="true">IF(G118="",TODAY()-DATEVALUE(D118),DATEVALUE(G118)-DATEVALUE(D118))</f>
        <v>9</v>
      </c>
      <c r="K118" s="11" t="str">
        <f aca="false">IF(J118&lt;=0,"Current",IF(J118&lt;=30,"1-30 days",IF(J118&lt;=60,"31-60 days",IF(J118&lt;=90,"61-90 days","90+ days"))))</f>
        <v>1-30 days</v>
      </c>
    </row>
    <row r="119" customFormat="false" ht="15" hidden="false" customHeight="false" outlineLevel="0" collapsed="false">
      <c r="A119" s="10" t="s">
        <v>414</v>
      </c>
      <c r="B119" s="10" t="s">
        <v>171</v>
      </c>
      <c r="C119" s="10" t="s">
        <v>58</v>
      </c>
      <c r="D119" s="10" t="s">
        <v>274</v>
      </c>
      <c r="E119" s="10" t="n">
        <v>30</v>
      </c>
      <c r="F119" s="10" t="n">
        <v>1997</v>
      </c>
      <c r="G119" s="10" t="s">
        <v>116</v>
      </c>
      <c r="H119" s="11" t="str">
        <f aca="false">IF(G119="","Open","Paid")</f>
        <v>Paid</v>
      </c>
      <c r="I119" s="11" t="n">
        <f aca="false">IF(G119="","",DATEVALUE(G119)-DATEVALUE(C119))</f>
        <v>31</v>
      </c>
      <c r="J119" s="11" t="n">
        <f aca="true">IF(G119="",TODAY()-DATEVALUE(D119),DATEVALUE(G119)-DATEVALUE(D119))</f>
        <v>1</v>
      </c>
      <c r="K119" s="11" t="str">
        <f aca="false">IF(J119&lt;=0,"Current",IF(J119&lt;=30,"1-30 days",IF(J119&lt;=60,"31-60 days",IF(J119&lt;=90,"61-90 days","90+ days"))))</f>
        <v>1-30 days</v>
      </c>
    </row>
    <row r="120" customFormat="false" ht="15" hidden="false" customHeight="false" outlineLevel="0" collapsed="false">
      <c r="A120" s="10" t="s">
        <v>415</v>
      </c>
      <c r="B120" s="10" t="s">
        <v>185</v>
      </c>
      <c r="C120" s="10" t="s">
        <v>416</v>
      </c>
      <c r="D120" s="10" t="s">
        <v>196</v>
      </c>
      <c r="E120" s="10" t="n">
        <v>30</v>
      </c>
      <c r="F120" s="10" t="n">
        <v>5129.56</v>
      </c>
      <c r="G120" s="10" t="s">
        <v>417</v>
      </c>
      <c r="H120" s="11" t="str">
        <f aca="false">IF(G120="","Open","Paid")</f>
        <v>Paid</v>
      </c>
      <c r="I120" s="11" t="n">
        <f aca="false">IF(G120="","",DATEVALUE(G120)-DATEVALUE(C120))</f>
        <v>1</v>
      </c>
      <c r="J120" s="11" t="n">
        <f aca="true">IF(G120="",TODAY()-DATEVALUE(D120),DATEVALUE(G120)-DATEVALUE(D120))</f>
        <v>-29</v>
      </c>
      <c r="K120" s="11" t="str">
        <f aca="false">IF(J120&lt;=0,"Current",IF(J120&lt;=30,"1-30 days",IF(J120&lt;=60,"31-60 days",IF(J120&lt;=90,"61-90 days","90+ days"))))</f>
        <v>Current</v>
      </c>
    </row>
    <row r="121" customFormat="false" ht="15" hidden="false" customHeight="false" outlineLevel="0" collapsed="false">
      <c r="A121" s="10" t="s">
        <v>418</v>
      </c>
      <c r="B121" s="10" t="s">
        <v>185</v>
      </c>
      <c r="C121" s="10" t="s">
        <v>419</v>
      </c>
      <c r="D121" s="10" t="s">
        <v>420</v>
      </c>
      <c r="E121" s="10" t="n">
        <v>45</v>
      </c>
      <c r="F121" s="10" t="n">
        <v>1783.07</v>
      </c>
      <c r="G121" s="10" t="s">
        <v>313</v>
      </c>
      <c r="H121" s="11" t="str">
        <f aca="false">IF(G121="","Open","Paid")</f>
        <v>Paid</v>
      </c>
      <c r="I121" s="11" t="n">
        <f aca="false">IF(G121="","",DATEVALUE(G121)-DATEVALUE(C121))</f>
        <v>33</v>
      </c>
      <c r="J121" s="11" t="n">
        <f aca="true">IF(G121="",TODAY()-DATEVALUE(D121),DATEVALUE(G121)-DATEVALUE(D121))</f>
        <v>-12</v>
      </c>
      <c r="K121" s="11" t="str">
        <f aca="false">IF(J121&lt;=0,"Current",IF(J121&lt;=30,"1-30 days",IF(J121&lt;=60,"31-60 days",IF(J121&lt;=90,"61-90 days","90+ days"))))</f>
        <v>Current</v>
      </c>
    </row>
    <row r="122" customFormat="false" ht="15" hidden="false" customHeight="false" outlineLevel="0" collapsed="false">
      <c r="A122" s="10" t="s">
        <v>421</v>
      </c>
      <c r="B122" s="10" t="s">
        <v>167</v>
      </c>
      <c r="C122" s="10" t="s">
        <v>240</v>
      </c>
      <c r="D122" s="10" t="s">
        <v>349</v>
      </c>
      <c r="E122" s="10" t="n">
        <v>60</v>
      </c>
      <c r="F122" s="10" t="n">
        <v>5254.05</v>
      </c>
      <c r="G122" s="10" t="s">
        <v>422</v>
      </c>
      <c r="H122" s="11" t="str">
        <f aca="false">IF(G122="","Open","Paid")</f>
        <v>Paid</v>
      </c>
      <c r="I122" s="11" t="n">
        <f aca="false">IF(G122="","",DATEVALUE(G122)-DATEVALUE(C122))</f>
        <v>68</v>
      </c>
      <c r="J122" s="11" t="n">
        <f aca="true">IF(G122="",TODAY()-DATEVALUE(D122),DATEVALUE(G122)-DATEVALUE(D122))</f>
        <v>8</v>
      </c>
      <c r="K122" s="11" t="str">
        <f aca="false">IF(J122&lt;=0,"Current",IF(J122&lt;=30,"1-30 days",IF(J122&lt;=60,"31-60 days",IF(J122&lt;=90,"61-90 days","90+ days"))))</f>
        <v>1-30 days</v>
      </c>
    </row>
    <row r="123" customFormat="false" ht="15" hidden="false" customHeight="false" outlineLevel="0" collapsed="false">
      <c r="A123" s="10" t="s">
        <v>423</v>
      </c>
      <c r="B123" s="10" t="s">
        <v>351</v>
      </c>
      <c r="C123" s="10" t="s">
        <v>25</v>
      </c>
      <c r="D123" s="10" t="s">
        <v>424</v>
      </c>
      <c r="E123" s="10" t="n">
        <v>30</v>
      </c>
      <c r="F123" s="10" t="n">
        <v>5156.34</v>
      </c>
      <c r="G123" s="10" t="s">
        <v>425</v>
      </c>
      <c r="H123" s="11" t="str">
        <f aca="false">IF(G123="","Open","Paid")</f>
        <v>Paid</v>
      </c>
      <c r="I123" s="11" t="n">
        <f aca="false">IF(G123="","",DATEVALUE(G123)-DATEVALUE(C123))</f>
        <v>44</v>
      </c>
      <c r="J123" s="11" t="n">
        <f aca="true">IF(G123="",TODAY()-DATEVALUE(D123),DATEVALUE(G123)-DATEVALUE(D123))</f>
        <v>14</v>
      </c>
      <c r="K123" s="11" t="str">
        <f aca="false">IF(J123&lt;=0,"Current",IF(J123&lt;=30,"1-30 days",IF(J123&lt;=60,"31-60 days",IF(J123&lt;=90,"61-90 days","90+ days"))))</f>
        <v>1-30 days</v>
      </c>
    </row>
    <row r="124" customFormat="false" ht="15" hidden="false" customHeight="false" outlineLevel="0" collapsed="false">
      <c r="A124" s="10" t="s">
        <v>426</v>
      </c>
      <c r="B124" s="10" t="s">
        <v>46</v>
      </c>
      <c r="C124" s="10" t="s">
        <v>331</v>
      </c>
      <c r="D124" s="10" t="s">
        <v>427</v>
      </c>
      <c r="E124" s="10" t="n">
        <v>45</v>
      </c>
      <c r="F124" s="10" t="n">
        <v>4362.28</v>
      </c>
      <c r="G124" s="10"/>
      <c r="H124" s="11" t="str">
        <f aca="false">IF(G124="","Open","Paid")</f>
        <v>Open</v>
      </c>
      <c r="I124" s="11" t="str">
        <f aca="false">IF(G124="","",DATEVALUE(G124)-DATEVALUE(C124))</f>
        <v/>
      </c>
      <c r="J124" s="11" t="n">
        <f aca="true">IF(G124="",TODAY()-DATEVALUE(D124),DATEVALUE(G124)-DATEVALUE(D124))</f>
        <v>-12</v>
      </c>
      <c r="K124" s="11" t="str">
        <f aca="false">IF(J124&lt;=0,"Current",IF(J124&lt;=30,"1-30 days",IF(J124&lt;=60,"31-60 days",IF(J124&lt;=90,"61-90 days","90+ days"))))</f>
        <v>Current</v>
      </c>
    </row>
    <row r="125" customFormat="false" ht="15" hidden="false" customHeight="false" outlineLevel="0" collapsed="false">
      <c r="A125" s="10" t="s">
        <v>428</v>
      </c>
      <c r="B125" s="10" t="s">
        <v>144</v>
      </c>
      <c r="C125" s="10" t="s">
        <v>429</v>
      </c>
      <c r="D125" s="10" t="s">
        <v>430</v>
      </c>
      <c r="E125" s="10" t="n">
        <v>60</v>
      </c>
      <c r="F125" s="10" t="n">
        <v>3579.39</v>
      </c>
      <c r="G125" s="10" t="s">
        <v>403</v>
      </c>
      <c r="H125" s="11" t="str">
        <f aca="false">IF(G125="","Open","Paid")</f>
        <v>Paid</v>
      </c>
      <c r="I125" s="11" t="n">
        <f aca="false">IF(G125="","",DATEVALUE(G125)-DATEVALUE(C125))</f>
        <v>40</v>
      </c>
      <c r="J125" s="11" t="n">
        <f aca="true">IF(G125="",TODAY()-DATEVALUE(D125),DATEVALUE(G125)-DATEVALUE(D125))</f>
        <v>-20</v>
      </c>
      <c r="K125" s="11" t="str">
        <f aca="false">IF(J125&lt;=0,"Current",IF(J125&lt;=30,"1-30 days",IF(J125&lt;=60,"31-60 days",IF(J125&lt;=90,"61-90 days","90+ days"))))</f>
        <v>Current</v>
      </c>
    </row>
    <row r="126" customFormat="false" ht="15" hidden="false" customHeight="false" outlineLevel="0" collapsed="false">
      <c r="A126" s="10" t="s">
        <v>431</v>
      </c>
      <c r="B126" s="10" t="s">
        <v>163</v>
      </c>
      <c r="C126" s="10" t="s">
        <v>62</v>
      </c>
      <c r="D126" s="10" t="s">
        <v>427</v>
      </c>
      <c r="E126" s="10" t="n">
        <v>30</v>
      </c>
      <c r="F126" s="10" t="n">
        <v>3144.16</v>
      </c>
      <c r="G126" s="10"/>
      <c r="H126" s="11" t="str">
        <f aca="false">IF(G126="","Open","Paid")</f>
        <v>Open</v>
      </c>
      <c r="I126" s="11" t="str">
        <f aca="false">IF(G126="","",DATEVALUE(G126)-DATEVALUE(C126))</f>
        <v/>
      </c>
      <c r="J126" s="11" t="n">
        <f aca="true">IF(G126="",TODAY()-DATEVALUE(D126),DATEVALUE(G126)-DATEVALUE(D126))</f>
        <v>-12</v>
      </c>
      <c r="K126" s="11" t="str">
        <f aca="false">IF(J126&lt;=0,"Current",IF(J126&lt;=30,"1-30 days",IF(J126&lt;=60,"31-60 days",IF(J126&lt;=90,"61-90 days","90+ days"))))</f>
        <v>Current</v>
      </c>
    </row>
    <row r="127" customFormat="false" ht="15" hidden="false" customHeight="false" outlineLevel="0" collapsed="false">
      <c r="A127" s="10" t="s">
        <v>432</v>
      </c>
      <c r="B127" s="10" t="s">
        <v>293</v>
      </c>
      <c r="C127" s="10" t="s">
        <v>252</v>
      </c>
      <c r="D127" s="10" t="s">
        <v>188</v>
      </c>
      <c r="E127" s="10" t="n">
        <v>30</v>
      </c>
      <c r="F127" s="10" t="n">
        <v>2288.26</v>
      </c>
      <c r="G127" s="10" t="s">
        <v>248</v>
      </c>
      <c r="H127" s="11" t="str">
        <f aca="false">IF(G127="","Open","Paid")</f>
        <v>Paid</v>
      </c>
      <c r="I127" s="11" t="n">
        <f aca="false">IF(G127="","",DATEVALUE(G127)-DATEVALUE(C127))</f>
        <v>42</v>
      </c>
      <c r="J127" s="11" t="n">
        <f aca="true">IF(G127="",TODAY()-DATEVALUE(D127),DATEVALUE(G127)-DATEVALUE(D127))</f>
        <v>12</v>
      </c>
      <c r="K127" s="11" t="str">
        <f aca="false">IF(J127&lt;=0,"Current",IF(J127&lt;=30,"1-30 days",IF(J127&lt;=60,"31-60 days",IF(J127&lt;=90,"61-90 days","90+ days"))))</f>
        <v>1-30 days</v>
      </c>
    </row>
    <row r="128" customFormat="false" ht="15" hidden="false" customHeight="false" outlineLevel="0" collapsed="false">
      <c r="A128" s="10" t="s">
        <v>433</v>
      </c>
      <c r="B128" s="10" t="s">
        <v>180</v>
      </c>
      <c r="C128" s="10" t="s">
        <v>399</v>
      </c>
      <c r="D128" s="10" t="s">
        <v>434</v>
      </c>
      <c r="E128" s="10" t="n">
        <v>30</v>
      </c>
      <c r="F128" s="10" t="n">
        <v>10424.03</v>
      </c>
      <c r="G128" s="10" t="s">
        <v>407</v>
      </c>
      <c r="H128" s="11" t="str">
        <f aca="false">IF(G128="","Open","Paid")</f>
        <v>Paid</v>
      </c>
      <c r="I128" s="11" t="n">
        <f aca="false">IF(G128="","",DATEVALUE(G128)-DATEVALUE(C128))</f>
        <v>56</v>
      </c>
      <c r="J128" s="11" t="n">
        <f aca="true">IF(G128="",TODAY()-DATEVALUE(D128),DATEVALUE(G128)-DATEVALUE(D128))</f>
        <v>26</v>
      </c>
      <c r="K128" s="11" t="str">
        <f aca="false">IF(J128&lt;=0,"Current",IF(J128&lt;=30,"1-30 days",IF(J128&lt;=60,"31-60 days",IF(J128&lt;=90,"61-90 days","90+ days"))))</f>
        <v>1-30 days</v>
      </c>
    </row>
    <row r="129" customFormat="false" ht="15" hidden="false" customHeight="false" outlineLevel="0" collapsed="false">
      <c r="A129" s="10" t="s">
        <v>435</v>
      </c>
      <c r="B129" s="10" t="s">
        <v>106</v>
      </c>
      <c r="C129" s="10" t="s">
        <v>94</v>
      </c>
      <c r="D129" s="10" t="s">
        <v>227</v>
      </c>
      <c r="E129" s="10" t="n">
        <v>30</v>
      </c>
      <c r="F129" s="10" t="n">
        <v>4244.22</v>
      </c>
      <c r="G129" s="10" t="s">
        <v>103</v>
      </c>
      <c r="H129" s="11" t="str">
        <f aca="false">IF(G129="","Open","Paid")</f>
        <v>Paid</v>
      </c>
      <c r="I129" s="11" t="n">
        <f aca="false">IF(G129="","",DATEVALUE(G129)-DATEVALUE(C129))</f>
        <v>29</v>
      </c>
      <c r="J129" s="11" t="n">
        <f aca="true">IF(G129="",TODAY()-DATEVALUE(D129),DATEVALUE(G129)-DATEVALUE(D129))</f>
        <v>-1</v>
      </c>
      <c r="K129" s="11" t="str">
        <f aca="false">IF(J129&lt;=0,"Current",IF(J129&lt;=30,"1-30 days",IF(J129&lt;=60,"31-60 days",IF(J129&lt;=90,"61-90 days","90+ days"))))</f>
        <v>Current</v>
      </c>
    </row>
    <row r="130" customFormat="false" ht="15" hidden="false" customHeight="false" outlineLevel="0" collapsed="false">
      <c r="A130" s="10" t="s">
        <v>436</v>
      </c>
      <c r="B130" s="10" t="s">
        <v>180</v>
      </c>
      <c r="C130" s="10" t="s">
        <v>190</v>
      </c>
      <c r="D130" s="10" t="s">
        <v>437</v>
      </c>
      <c r="E130" s="10" t="n">
        <v>45</v>
      </c>
      <c r="F130" s="10" t="n">
        <v>4157.07</v>
      </c>
      <c r="G130" s="10"/>
      <c r="H130" s="11" t="str">
        <f aca="false">IF(G130="","Open","Paid")</f>
        <v>Open</v>
      </c>
      <c r="I130" s="11" t="str">
        <f aca="false">IF(G130="","",DATEVALUE(G130)-DATEVALUE(C130))</f>
        <v/>
      </c>
      <c r="J130" s="11" t="n">
        <f aca="true">IF(G130="",TODAY()-DATEVALUE(D130),DATEVALUE(G130)-DATEVALUE(D130))</f>
        <v>-5</v>
      </c>
      <c r="K130" s="11" t="str">
        <f aca="false">IF(J130&lt;=0,"Current",IF(J130&lt;=30,"1-30 days",IF(J130&lt;=60,"31-60 days",IF(J130&lt;=90,"61-90 days","90+ days"))))</f>
        <v>Current</v>
      </c>
    </row>
    <row r="131" customFormat="false" ht="15" hidden="false" customHeight="false" outlineLevel="0" collapsed="false">
      <c r="A131" s="10" t="s">
        <v>438</v>
      </c>
      <c r="B131" s="10" t="s">
        <v>243</v>
      </c>
      <c r="C131" s="10" t="s">
        <v>261</v>
      </c>
      <c r="D131" s="10" t="s">
        <v>420</v>
      </c>
      <c r="E131" s="10" t="n">
        <v>30</v>
      </c>
      <c r="F131" s="10" t="n">
        <v>2585.65</v>
      </c>
      <c r="G131" s="10" t="s">
        <v>268</v>
      </c>
      <c r="H131" s="11" t="str">
        <f aca="false">IF(G131="","Open","Paid")</f>
        <v>Paid</v>
      </c>
      <c r="I131" s="11" t="n">
        <f aca="false">IF(G131="","",DATEVALUE(G131)-DATEVALUE(C131))</f>
        <v>26</v>
      </c>
      <c r="J131" s="11" t="n">
        <f aca="true">IF(G131="",TODAY()-DATEVALUE(D131),DATEVALUE(G131)-DATEVALUE(D131))</f>
        <v>-4</v>
      </c>
      <c r="K131" s="11" t="str">
        <f aca="false">IF(J131&lt;=0,"Current",IF(J131&lt;=30,"1-30 days",IF(J131&lt;=60,"31-60 days",IF(J131&lt;=90,"61-90 days","90+ days"))))</f>
        <v>Current</v>
      </c>
    </row>
    <row r="132" customFormat="false" ht="15" hidden="false" customHeight="false" outlineLevel="0" collapsed="false">
      <c r="A132" s="10" t="s">
        <v>439</v>
      </c>
      <c r="B132" s="10" t="s">
        <v>163</v>
      </c>
      <c r="C132" s="10" t="s">
        <v>440</v>
      </c>
      <c r="D132" s="10" t="s">
        <v>336</v>
      </c>
      <c r="E132" s="10" t="n">
        <v>30</v>
      </c>
      <c r="F132" s="10" t="n">
        <v>9814.65</v>
      </c>
      <c r="G132" s="10" t="s">
        <v>231</v>
      </c>
      <c r="H132" s="11" t="str">
        <f aca="false">IF(G132="","Open","Paid")</f>
        <v>Paid</v>
      </c>
      <c r="I132" s="11" t="n">
        <f aca="false">IF(G132="","",DATEVALUE(G132)-DATEVALUE(C132))</f>
        <v>7</v>
      </c>
      <c r="J132" s="11" t="n">
        <f aca="true">IF(G132="",TODAY()-DATEVALUE(D132),DATEVALUE(G132)-DATEVALUE(D132))</f>
        <v>-23</v>
      </c>
      <c r="K132" s="11" t="str">
        <f aca="false">IF(J132&lt;=0,"Current",IF(J132&lt;=30,"1-30 days",IF(J132&lt;=60,"31-60 days",IF(J132&lt;=90,"61-90 days","90+ days"))))</f>
        <v>Current</v>
      </c>
    </row>
    <row r="133" customFormat="false" ht="15" hidden="false" customHeight="false" outlineLevel="0" collapsed="false">
      <c r="A133" s="10" t="s">
        <v>441</v>
      </c>
      <c r="B133" s="10" t="s">
        <v>342</v>
      </c>
      <c r="C133" s="10" t="s">
        <v>442</v>
      </c>
      <c r="D133" s="10" t="s">
        <v>443</v>
      </c>
      <c r="E133" s="10" t="n">
        <v>30</v>
      </c>
      <c r="F133" s="10" t="n">
        <v>3274.01</v>
      </c>
      <c r="G133" s="10" t="s">
        <v>199</v>
      </c>
      <c r="H133" s="11" t="str">
        <f aca="false">IF(G133="","Open","Paid")</f>
        <v>Paid</v>
      </c>
      <c r="I133" s="11" t="n">
        <f aca="false">IF(G133="","",DATEVALUE(G133)-DATEVALUE(C133))</f>
        <v>85</v>
      </c>
      <c r="J133" s="11" t="n">
        <f aca="true">IF(G133="",TODAY()-DATEVALUE(D133),DATEVALUE(G133)-DATEVALUE(D133))</f>
        <v>55</v>
      </c>
      <c r="K133" s="11" t="str">
        <f aca="false">IF(J133&lt;=0,"Current",IF(J133&lt;=30,"1-30 days",IF(J133&lt;=60,"31-60 days",IF(J133&lt;=90,"61-90 days","90+ days"))))</f>
        <v>31-60 days</v>
      </c>
    </row>
    <row r="134" customFormat="false" ht="15" hidden="false" customHeight="false" outlineLevel="0" collapsed="false">
      <c r="A134" s="10" t="s">
        <v>444</v>
      </c>
      <c r="B134" s="10" t="s">
        <v>87</v>
      </c>
      <c r="C134" s="10" t="s">
        <v>223</v>
      </c>
      <c r="D134" s="10" t="s">
        <v>445</v>
      </c>
      <c r="E134" s="10" t="n">
        <v>30</v>
      </c>
      <c r="F134" s="10" t="n">
        <v>5552.72</v>
      </c>
      <c r="G134" s="10" t="s">
        <v>446</v>
      </c>
      <c r="H134" s="11" t="str">
        <f aca="false">IF(G134="","Open","Paid")</f>
        <v>Paid</v>
      </c>
      <c r="I134" s="11" t="n">
        <f aca="false">IF(G134="","",DATEVALUE(G134)-DATEVALUE(C134))</f>
        <v>26</v>
      </c>
      <c r="J134" s="11" t="n">
        <f aca="true">IF(G134="",TODAY()-DATEVALUE(D134),DATEVALUE(G134)-DATEVALUE(D134))</f>
        <v>-4</v>
      </c>
      <c r="K134" s="11" t="str">
        <f aca="false">IF(J134&lt;=0,"Current",IF(J134&lt;=30,"1-30 days",IF(J134&lt;=60,"31-60 days",IF(J134&lt;=90,"61-90 days","90+ days"))))</f>
        <v>Current</v>
      </c>
    </row>
    <row r="135" customFormat="false" ht="15" hidden="false" customHeight="false" outlineLevel="0" collapsed="false">
      <c r="A135" s="10" t="s">
        <v>447</v>
      </c>
      <c r="B135" s="10" t="s">
        <v>185</v>
      </c>
      <c r="C135" s="10" t="s">
        <v>448</v>
      </c>
      <c r="D135" s="10" t="s">
        <v>380</v>
      </c>
      <c r="E135" s="10" t="n">
        <v>60</v>
      </c>
      <c r="F135" s="10" t="n">
        <v>6187.15</v>
      </c>
      <c r="G135" s="10" t="s">
        <v>176</v>
      </c>
      <c r="H135" s="11" t="str">
        <f aca="false">IF(G135="","Open","Paid")</f>
        <v>Paid</v>
      </c>
      <c r="I135" s="11" t="n">
        <f aca="false">IF(G135="","",DATEVALUE(G135)-DATEVALUE(C135))</f>
        <v>58</v>
      </c>
      <c r="J135" s="11" t="n">
        <f aca="true">IF(G135="",TODAY()-DATEVALUE(D135),DATEVALUE(G135)-DATEVALUE(D135))</f>
        <v>-2</v>
      </c>
      <c r="K135" s="11" t="str">
        <f aca="false">IF(J135&lt;=0,"Current",IF(J135&lt;=30,"1-30 days",IF(J135&lt;=60,"31-60 days",IF(J135&lt;=90,"61-90 days","90+ days"))))</f>
        <v>Current</v>
      </c>
    </row>
    <row r="136" customFormat="false" ht="15" hidden="false" customHeight="false" outlineLevel="0" collapsed="false">
      <c r="A136" s="10" t="s">
        <v>449</v>
      </c>
      <c r="B136" s="10" t="s">
        <v>106</v>
      </c>
      <c r="C136" s="10" t="s">
        <v>450</v>
      </c>
      <c r="D136" s="10" t="s">
        <v>446</v>
      </c>
      <c r="E136" s="10" t="n">
        <v>30</v>
      </c>
      <c r="F136" s="10" t="n">
        <v>5131.86</v>
      </c>
      <c r="G136" s="10" t="s">
        <v>425</v>
      </c>
      <c r="H136" s="11" t="str">
        <f aca="false">IF(G136="","Open","Paid")</f>
        <v>Paid</v>
      </c>
      <c r="I136" s="11" t="n">
        <f aca="false">IF(G136="","",DATEVALUE(G136)-DATEVALUE(C136))</f>
        <v>23</v>
      </c>
      <c r="J136" s="11" t="n">
        <f aca="true">IF(G136="",TODAY()-DATEVALUE(D136),DATEVALUE(G136)-DATEVALUE(D136))</f>
        <v>-7</v>
      </c>
      <c r="K136" s="11" t="str">
        <f aca="false">IF(J136&lt;=0,"Current",IF(J136&lt;=30,"1-30 days",IF(J136&lt;=60,"31-60 days",IF(J136&lt;=90,"61-90 days","90+ days"))))</f>
        <v>Current</v>
      </c>
    </row>
    <row r="137" customFormat="false" ht="15" hidden="false" customHeight="false" outlineLevel="0" collapsed="false">
      <c r="A137" s="10" t="s">
        <v>451</v>
      </c>
      <c r="B137" s="10" t="s">
        <v>452</v>
      </c>
      <c r="C137" s="10" t="s">
        <v>333</v>
      </c>
      <c r="D137" s="10" t="s">
        <v>334</v>
      </c>
      <c r="E137" s="10" t="n">
        <v>30</v>
      </c>
      <c r="F137" s="10" t="n">
        <v>1751.67</v>
      </c>
      <c r="G137" s="10"/>
      <c r="H137" s="11" t="str">
        <f aca="false">IF(G137="","Open","Paid")</f>
        <v>Open</v>
      </c>
      <c r="I137" s="11" t="str">
        <f aca="false">IF(G137="","",DATEVALUE(G137)-DATEVALUE(C137))</f>
        <v/>
      </c>
      <c r="J137" s="11" t="n">
        <f aca="true">IF(G137="",TODAY()-DATEVALUE(D137),DATEVALUE(G137)-DATEVALUE(D137))</f>
        <v>-19</v>
      </c>
      <c r="K137" s="11" t="str">
        <f aca="false">IF(J137&lt;=0,"Current",IF(J137&lt;=30,"1-30 days",IF(J137&lt;=60,"31-60 days",IF(J137&lt;=90,"61-90 days","90+ days"))))</f>
        <v>Current</v>
      </c>
    </row>
    <row r="138" customFormat="false" ht="15" hidden="false" customHeight="false" outlineLevel="0" collapsed="false">
      <c r="A138" s="10" t="s">
        <v>453</v>
      </c>
      <c r="B138" s="10" t="s">
        <v>64</v>
      </c>
      <c r="C138" s="10" t="s">
        <v>454</v>
      </c>
      <c r="D138" s="10" t="s">
        <v>373</v>
      </c>
      <c r="E138" s="10" t="n">
        <v>30</v>
      </c>
      <c r="F138" s="10" t="n">
        <v>6987.56</v>
      </c>
      <c r="G138" s="10" t="s">
        <v>49</v>
      </c>
      <c r="H138" s="11" t="str">
        <f aca="false">IF(G138="","Open","Paid")</f>
        <v>Paid</v>
      </c>
      <c r="I138" s="11" t="n">
        <f aca="false">IF(G138="","",DATEVALUE(G138)-DATEVALUE(C138))</f>
        <v>29</v>
      </c>
      <c r="J138" s="11" t="n">
        <f aca="true">IF(G138="",TODAY()-DATEVALUE(D138),DATEVALUE(G138)-DATEVALUE(D138))</f>
        <v>-1</v>
      </c>
      <c r="K138" s="11" t="str">
        <f aca="false">IF(J138&lt;=0,"Current",IF(J138&lt;=30,"1-30 days",IF(J138&lt;=60,"31-60 days",IF(J138&lt;=90,"61-90 days","90+ days"))))</f>
        <v>Current</v>
      </c>
    </row>
    <row r="139" customFormat="false" ht="15" hidden="false" customHeight="false" outlineLevel="0" collapsed="false">
      <c r="A139" s="10" t="s">
        <v>455</v>
      </c>
      <c r="B139" s="10" t="s">
        <v>217</v>
      </c>
      <c r="C139" s="10" t="s">
        <v>267</v>
      </c>
      <c r="D139" s="10" t="s">
        <v>456</v>
      </c>
      <c r="E139" s="10" t="n">
        <v>30</v>
      </c>
      <c r="F139" s="10" t="n">
        <v>3252.41</v>
      </c>
      <c r="G139" s="10" t="s">
        <v>173</v>
      </c>
      <c r="H139" s="11" t="str">
        <f aca="false">IF(G139="","Open","Paid")</f>
        <v>Paid</v>
      </c>
      <c r="I139" s="11" t="n">
        <f aca="false">IF(G139="","",DATEVALUE(G139)-DATEVALUE(C139))</f>
        <v>35</v>
      </c>
      <c r="J139" s="11" t="n">
        <f aca="true">IF(G139="",TODAY()-DATEVALUE(D139),DATEVALUE(G139)-DATEVALUE(D139))</f>
        <v>5</v>
      </c>
      <c r="K139" s="11" t="str">
        <f aca="false">IF(J139&lt;=0,"Current",IF(J139&lt;=30,"1-30 days",IF(J139&lt;=60,"31-60 days",IF(J139&lt;=90,"61-90 days","90+ days"))))</f>
        <v>1-30 days</v>
      </c>
    </row>
    <row r="140" customFormat="false" ht="15" hidden="false" customHeight="false" outlineLevel="0" collapsed="false">
      <c r="A140" s="10" t="s">
        <v>457</v>
      </c>
      <c r="B140" s="10" t="s">
        <v>297</v>
      </c>
      <c r="C140" s="10" t="s">
        <v>245</v>
      </c>
      <c r="D140" s="10" t="s">
        <v>84</v>
      </c>
      <c r="E140" s="10" t="n">
        <v>30</v>
      </c>
      <c r="F140" s="10" t="n">
        <v>7536.27</v>
      </c>
      <c r="G140" s="10" t="s">
        <v>458</v>
      </c>
      <c r="H140" s="11" t="str">
        <f aca="false">IF(G140="","Open","Paid")</f>
        <v>Paid</v>
      </c>
      <c r="I140" s="11" t="n">
        <f aca="false">IF(G140="","",DATEVALUE(G140)-DATEVALUE(C140))</f>
        <v>26</v>
      </c>
      <c r="J140" s="11" t="n">
        <f aca="true">IF(G140="",TODAY()-DATEVALUE(D140),DATEVALUE(G140)-DATEVALUE(D140))</f>
        <v>-4</v>
      </c>
      <c r="K140" s="11" t="str">
        <f aca="false">IF(J140&lt;=0,"Current",IF(J140&lt;=30,"1-30 days",IF(J140&lt;=60,"31-60 days",IF(J140&lt;=90,"61-90 days","90+ days"))))</f>
        <v>Current</v>
      </c>
    </row>
    <row r="141" customFormat="false" ht="15" hidden="false" customHeight="false" outlineLevel="0" collapsed="false">
      <c r="A141" s="10" t="s">
        <v>459</v>
      </c>
      <c r="B141" s="10" t="s">
        <v>163</v>
      </c>
      <c r="C141" s="10" t="s">
        <v>331</v>
      </c>
      <c r="D141" s="10" t="s">
        <v>460</v>
      </c>
      <c r="E141" s="10" t="n">
        <v>30</v>
      </c>
      <c r="F141" s="10" t="n">
        <v>4605.52</v>
      </c>
      <c r="G141" s="10" t="s">
        <v>254</v>
      </c>
      <c r="H141" s="11" t="str">
        <f aca="false">IF(G141="","Open","Paid")</f>
        <v>Paid</v>
      </c>
      <c r="I141" s="11" t="n">
        <f aca="false">IF(G141="","",DATEVALUE(G141)-DATEVALUE(C141))</f>
        <v>25</v>
      </c>
      <c r="J141" s="11" t="n">
        <f aca="true">IF(G141="",TODAY()-DATEVALUE(D141),DATEVALUE(G141)-DATEVALUE(D141))</f>
        <v>-5</v>
      </c>
      <c r="K141" s="11" t="str">
        <f aca="false">IF(J141&lt;=0,"Current",IF(J141&lt;=30,"1-30 days",IF(J141&lt;=60,"31-60 days",IF(J141&lt;=90,"61-90 days","90+ days"))))</f>
        <v>Current</v>
      </c>
    </row>
    <row r="142" customFormat="false" ht="15" hidden="false" customHeight="false" outlineLevel="0" collapsed="false">
      <c r="A142" s="10" t="s">
        <v>461</v>
      </c>
      <c r="B142" s="10" t="s">
        <v>102</v>
      </c>
      <c r="C142" s="10" t="s">
        <v>462</v>
      </c>
      <c r="D142" s="10" t="s">
        <v>325</v>
      </c>
      <c r="E142" s="10" t="n">
        <v>30</v>
      </c>
      <c r="F142" s="10" t="n">
        <v>6405.38</v>
      </c>
      <c r="G142" s="10" t="s">
        <v>287</v>
      </c>
      <c r="H142" s="11" t="str">
        <f aca="false">IF(G142="","Open","Paid")</f>
        <v>Paid</v>
      </c>
      <c r="I142" s="11" t="n">
        <f aca="false">IF(G142="","",DATEVALUE(G142)-DATEVALUE(C142))</f>
        <v>31</v>
      </c>
      <c r="J142" s="11" t="n">
        <f aca="true">IF(G142="",TODAY()-DATEVALUE(D142),DATEVALUE(G142)-DATEVALUE(D142))</f>
        <v>1</v>
      </c>
      <c r="K142" s="11" t="str">
        <f aca="false">IF(J142&lt;=0,"Current",IF(J142&lt;=30,"1-30 days",IF(J142&lt;=60,"31-60 days",IF(J142&lt;=90,"61-90 days","90+ days"))))</f>
        <v>1-30 days</v>
      </c>
    </row>
    <row r="143" customFormat="false" ht="15" hidden="false" customHeight="false" outlineLevel="0" collapsed="false">
      <c r="A143" s="10" t="s">
        <v>463</v>
      </c>
      <c r="B143" s="10" t="s">
        <v>64</v>
      </c>
      <c r="C143" s="10" t="s">
        <v>80</v>
      </c>
      <c r="D143" s="10" t="s">
        <v>294</v>
      </c>
      <c r="E143" s="10" t="n">
        <v>30</v>
      </c>
      <c r="F143" s="10" t="n">
        <v>9454.29</v>
      </c>
      <c r="G143" s="10" t="s">
        <v>317</v>
      </c>
      <c r="H143" s="11" t="str">
        <f aca="false">IF(G143="","Open","Paid")</f>
        <v>Paid</v>
      </c>
      <c r="I143" s="11" t="n">
        <f aca="false">IF(G143="","",DATEVALUE(G143)-DATEVALUE(C143))</f>
        <v>6</v>
      </c>
      <c r="J143" s="11" t="n">
        <f aca="true">IF(G143="",TODAY()-DATEVALUE(D143),DATEVALUE(G143)-DATEVALUE(D143))</f>
        <v>-24</v>
      </c>
      <c r="K143" s="11" t="str">
        <f aca="false">IF(J143&lt;=0,"Current",IF(J143&lt;=30,"1-30 days",IF(J143&lt;=60,"31-60 days",IF(J143&lt;=90,"61-90 days","90+ days"))))</f>
        <v>Current</v>
      </c>
    </row>
    <row r="144" customFormat="false" ht="15" hidden="false" customHeight="false" outlineLevel="0" collapsed="false">
      <c r="A144" s="10" t="s">
        <v>464</v>
      </c>
      <c r="B144" s="10" t="s">
        <v>256</v>
      </c>
      <c r="C144" s="10" t="s">
        <v>465</v>
      </c>
      <c r="D144" s="10" t="s">
        <v>328</v>
      </c>
      <c r="E144" s="10" t="n">
        <v>45</v>
      </c>
      <c r="F144" s="10" t="n">
        <v>6840.8</v>
      </c>
      <c r="G144" s="10" t="s">
        <v>466</v>
      </c>
      <c r="H144" s="11" t="str">
        <f aca="false">IF(G144="","Open","Paid")</f>
        <v>Paid</v>
      </c>
      <c r="I144" s="11" t="n">
        <f aca="false">IF(G144="","",DATEVALUE(G144)-DATEVALUE(C144))</f>
        <v>50</v>
      </c>
      <c r="J144" s="11" t="n">
        <f aca="true">IF(G144="",TODAY()-DATEVALUE(D144),DATEVALUE(G144)-DATEVALUE(D144))</f>
        <v>5</v>
      </c>
      <c r="K144" s="11" t="str">
        <f aca="false">IF(J144&lt;=0,"Current",IF(J144&lt;=30,"1-30 days",IF(J144&lt;=60,"31-60 days",IF(J144&lt;=90,"61-90 days","90+ days"))))</f>
        <v>1-30 days</v>
      </c>
    </row>
    <row r="145" customFormat="false" ht="15" hidden="false" customHeight="false" outlineLevel="0" collapsed="false">
      <c r="A145" s="10" t="s">
        <v>467</v>
      </c>
      <c r="B145" s="10" t="s">
        <v>180</v>
      </c>
      <c r="C145" s="10" t="s">
        <v>354</v>
      </c>
      <c r="D145" s="10" t="s">
        <v>65</v>
      </c>
      <c r="E145" s="10" t="n">
        <v>45</v>
      </c>
      <c r="F145" s="10" t="n">
        <v>6495.24</v>
      </c>
      <c r="G145" s="10" t="s">
        <v>187</v>
      </c>
      <c r="H145" s="11" t="str">
        <f aca="false">IF(G145="","Open","Paid")</f>
        <v>Paid</v>
      </c>
      <c r="I145" s="11" t="n">
        <f aca="false">IF(G145="","",DATEVALUE(G145)-DATEVALUE(C145))</f>
        <v>65</v>
      </c>
      <c r="J145" s="11" t="n">
        <f aca="true">IF(G145="",TODAY()-DATEVALUE(D145),DATEVALUE(G145)-DATEVALUE(D145))</f>
        <v>20</v>
      </c>
      <c r="K145" s="11" t="str">
        <f aca="false">IF(J145&lt;=0,"Current",IF(J145&lt;=30,"1-30 days",IF(J145&lt;=60,"31-60 days",IF(J145&lt;=90,"61-90 days","90+ days"))))</f>
        <v>1-30 days</v>
      </c>
    </row>
    <row r="146" customFormat="false" ht="15" hidden="false" customHeight="false" outlineLevel="0" collapsed="false">
      <c r="A146" s="10" t="s">
        <v>468</v>
      </c>
      <c r="B146" s="10" t="s">
        <v>469</v>
      </c>
      <c r="C146" s="10" t="s">
        <v>317</v>
      </c>
      <c r="D146" s="10" t="s">
        <v>196</v>
      </c>
      <c r="E146" s="10" t="n">
        <v>45</v>
      </c>
      <c r="F146" s="10" t="n">
        <v>7168.35</v>
      </c>
      <c r="G146" s="10" t="s">
        <v>196</v>
      </c>
      <c r="H146" s="11" t="str">
        <f aca="false">IF(G146="","Open","Paid")</f>
        <v>Paid</v>
      </c>
      <c r="I146" s="11" t="n">
        <f aca="false">IF(G146="","",DATEVALUE(G146)-DATEVALUE(C146))</f>
        <v>45</v>
      </c>
      <c r="J146" s="11" t="n">
        <f aca="true">IF(G146="",TODAY()-DATEVALUE(D146),DATEVALUE(G146)-DATEVALUE(D146))</f>
        <v>0</v>
      </c>
      <c r="K146" s="11" t="str">
        <f aca="false">IF(J146&lt;=0,"Current",IF(J146&lt;=30,"1-30 days",IF(J146&lt;=60,"31-60 days",IF(J146&lt;=90,"61-90 days","90+ days"))))</f>
        <v>Current</v>
      </c>
    </row>
    <row r="147" customFormat="false" ht="15" hidden="false" customHeight="false" outlineLevel="0" collapsed="false">
      <c r="A147" s="10" t="s">
        <v>470</v>
      </c>
      <c r="B147" s="10" t="s">
        <v>342</v>
      </c>
      <c r="C147" s="10" t="s">
        <v>471</v>
      </c>
      <c r="D147" s="10" t="s">
        <v>94</v>
      </c>
      <c r="E147" s="10" t="n">
        <v>45</v>
      </c>
      <c r="F147" s="10" t="n">
        <v>2822.72</v>
      </c>
      <c r="G147" s="10" t="s">
        <v>257</v>
      </c>
      <c r="H147" s="11" t="str">
        <f aca="false">IF(G147="","Open","Paid")</f>
        <v>Paid</v>
      </c>
      <c r="I147" s="11" t="n">
        <f aca="false">IF(G147="","",DATEVALUE(G147)-DATEVALUE(C147))</f>
        <v>56</v>
      </c>
      <c r="J147" s="11" t="n">
        <f aca="true">IF(G147="",TODAY()-DATEVALUE(D147),DATEVALUE(G147)-DATEVALUE(D147))</f>
        <v>11</v>
      </c>
      <c r="K147" s="11" t="str">
        <f aca="false">IF(J147&lt;=0,"Current",IF(J147&lt;=30,"1-30 days",IF(J147&lt;=60,"31-60 days",IF(J147&lt;=90,"61-90 days","90+ days"))))</f>
        <v>1-30 days</v>
      </c>
    </row>
    <row r="148" customFormat="false" ht="15" hidden="false" customHeight="false" outlineLevel="0" collapsed="false">
      <c r="A148" s="10" t="s">
        <v>472</v>
      </c>
      <c r="B148" s="10" t="s">
        <v>73</v>
      </c>
      <c r="C148" s="10" t="s">
        <v>399</v>
      </c>
      <c r="D148" s="10" t="s">
        <v>473</v>
      </c>
      <c r="E148" s="10" t="n">
        <v>45</v>
      </c>
      <c r="F148" s="10" t="n">
        <v>7717.53</v>
      </c>
      <c r="G148" s="10" t="s">
        <v>120</v>
      </c>
      <c r="H148" s="11" t="str">
        <f aca="false">IF(G148="","Open","Paid")</f>
        <v>Paid</v>
      </c>
      <c r="I148" s="11" t="n">
        <f aca="false">IF(G148="","",DATEVALUE(G148)-DATEVALUE(C148))</f>
        <v>21</v>
      </c>
      <c r="J148" s="11" t="n">
        <f aca="true">IF(G148="",TODAY()-DATEVALUE(D148),DATEVALUE(G148)-DATEVALUE(D148))</f>
        <v>-24</v>
      </c>
      <c r="K148" s="11" t="str">
        <f aca="false">IF(J148&lt;=0,"Current",IF(J148&lt;=30,"1-30 days",IF(J148&lt;=60,"31-60 days",IF(J148&lt;=90,"61-90 days","90+ days"))))</f>
        <v>Current</v>
      </c>
    </row>
    <row r="149" customFormat="false" ht="15" hidden="false" customHeight="false" outlineLevel="0" collapsed="false">
      <c r="A149" s="10" t="s">
        <v>474</v>
      </c>
      <c r="B149" s="10" t="s">
        <v>119</v>
      </c>
      <c r="C149" s="10" t="s">
        <v>79</v>
      </c>
      <c r="D149" s="10" t="s">
        <v>29</v>
      </c>
      <c r="E149" s="10" t="n">
        <v>30</v>
      </c>
      <c r="F149" s="10" t="n">
        <v>4044.91</v>
      </c>
      <c r="G149" s="10" t="s">
        <v>420</v>
      </c>
      <c r="H149" s="11" t="str">
        <f aca="false">IF(G149="","Open","Paid")</f>
        <v>Paid</v>
      </c>
      <c r="I149" s="11" t="n">
        <f aca="false">IF(G149="","",DATEVALUE(G149)-DATEVALUE(C149))</f>
        <v>6</v>
      </c>
      <c r="J149" s="11" t="n">
        <f aca="true">IF(G149="",TODAY()-DATEVALUE(D149),DATEVALUE(G149)-DATEVALUE(D149))</f>
        <v>-24</v>
      </c>
      <c r="K149" s="11" t="str">
        <f aca="false">IF(J149&lt;=0,"Current",IF(J149&lt;=30,"1-30 days",IF(J149&lt;=60,"31-60 days",IF(J149&lt;=90,"61-90 days","90+ days"))))</f>
        <v>Current</v>
      </c>
    </row>
    <row r="150" customFormat="false" ht="15" hidden="false" customHeight="false" outlineLevel="0" collapsed="false">
      <c r="A150" s="10" t="s">
        <v>475</v>
      </c>
      <c r="B150" s="10" t="s">
        <v>55</v>
      </c>
      <c r="C150" s="10" t="s">
        <v>29</v>
      </c>
      <c r="D150" s="10" t="s">
        <v>30</v>
      </c>
      <c r="E150" s="10" t="n">
        <v>30</v>
      </c>
      <c r="F150" s="10" t="n">
        <v>4127.38</v>
      </c>
      <c r="G150" s="10" t="s">
        <v>448</v>
      </c>
      <c r="H150" s="11" t="str">
        <f aca="false">IF(G150="","Open","Paid")</f>
        <v>Paid</v>
      </c>
      <c r="I150" s="11" t="n">
        <f aca="false">IF(G150="","",DATEVALUE(G150)-DATEVALUE(C150))</f>
        <v>33</v>
      </c>
      <c r="J150" s="11" t="n">
        <f aca="true">IF(G150="",TODAY()-DATEVALUE(D150),DATEVALUE(G150)-DATEVALUE(D150))</f>
        <v>3</v>
      </c>
      <c r="K150" s="11" t="str">
        <f aca="false">IF(J150&lt;=0,"Current",IF(J150&lt;=30,"1-30 days",IF(J150&lt;=60,"31-60 days",IF(J150&lt;=90,"61-90 days","90+ days"))))</f>
        <v>1-30 days</v>
      </c>
    </row>
    <row r="151" customFormat="false" ht="15" hidden="false" customHeight="false" outlineLevel="0" collapsed="false">
      <c r="A151" s="10" t="s">
        <v>476</v>
      </c>
      <c r="B151" s="10" t="s">
        <v>342</v>
      </c>
      <c r="C151" s="10" t="s">
        <v>477</v>
      </c>
      <c r="D151" s="10" t="s">
        <v>478</v>
      </c>
      <c r="E151" s="10" t="n">
        <v>30</v>
      </c>
      <c r="F151" s="10" t="n">
        <v>5035.94</v>
      </c>
      <c r="G151" s="10"/>
      <c r="H151" s="11" t="str">
        <f aca="false">IF(G151="","Open","Paid")</f>
        <v>Open</v>
      </c>
      <c r="I151" s="11" t="str">
        <f aca="false">IF(G151="","",DATEVALUE(G151)-DATEVALUE(C151))</f>
        <v/>
      </c>
      <c r="J151" s="11" t="n">
        <f aca="true">IF(G151="",TODAY()-DATEVALUE(D151),DATEVALUE(G151)-DATEVALUE(D151))</f>
        <v>-20</v>
      </c>
      <c r="K151" s="11" t="str">
        <f aca="false">IF(J151&lt;=0,"Current",IF(J151&lt;=30,"1-30 days",IF(J151&lt;=60,"31-60 days",IF(J151&lt;=90,"61-90 days","90+ days"))))</f>
        <v>Current</v>
      </c>
    </row>
    <row r="152" customFormat="false" ht="15" hidden="false" customHeight="false" outlineLevel="0" collapsed="false">
      <c r="A152" s="10" t="s">
        <v>479</v>
      </c>
      <c r="B152" s="10" t="s">
        <v>92</v>
      </c>
      <c r="C152" s="10" t="s">
        <v>480</v>
      </c>
      <c r="D152" s="10" t="s">
        <v>481</v>
      </c>
      <c r="E152" s="10" t="n">
        <v>30</v>
      </c>
      <c r="F152" s="10" t="n">
        <v>3814.47</v>
      </c>
      <c r="G152" s="10" t="s">
        <v>482</v>
      </c>
      <c r="H152" s="11" t="str">
        <f aca="false">IF(G152="","Open","Paid")</f>
        <v>Paid</v>
      </c>
      <c r="I152" s="11" t="n">
        <f aca="false">IF(G152="","",DATEVALUE(G152)-DATEVALUE(C152))</f>
        <v>32</v>
      </c>
      <c r="J152" s="11" t="n">
        <f aca="true">IF(G152="",TODAY()-DATEVALUE(D152),DATEVALUE(G152)-DATEVALUE(D152))</f>
        <v>2</v>
      </c>
      <c r="K152" s="11" t="str">
        <f aca="false">IF(J152&lt;=0,"Current",IF(J152&lt;=30,"1-30 days",IF(J152&lt;=60,"31-60 days",IF(J152&lt;=90,"61-90 days","90+ days"))))</f>
        <v>1-30 days</v>
      </c>
    </row>
    <row r="153" customFormat="false" ht="15" hidden="false" customHeight="false" outlineLevel="0" collapsed="false">
      <c r="A153" s="10" t="s">
        <v>483</v>
      </c>
      <c r="B153" s="10" t="s">
        <v>151</v>
      </c>
      <c r="C153" s="10" t="s">
        <v>484</v>
      </c>
      <c r="D153" s="10" t="s">
        <v>24</v>
      </c>
      <c r="E153" s="10" t="n">
        <v>45</v>
      </c>
      <c r="F153" s="10" t="n">
        <v>2441.02</v>
      </c>
      <c r="G153" s="10" t="s">
        <v>485</v>
      </c>
      <c r="H153" s="11" t="str">
        <f aca="false">IF(G153="","Open","Paid")</f>
        <v>Paid</v>
      </c>
      <c r="I153" s="11" t="n">
        <f aca="false">IF(G153="","",DATEVALUE(G153)-DATEVALUE(C153))</f>
        <v>39</v>
      </c>
      <c r="J153" s="11" t="n">
        <f aca="true">IF(G153="",TODAY()-DATEVALUE(D153),DATEVALUE(G153)-DATEVALUE(D153))</f>
        <v>-6</v>
      </c>
      <c r="K153" s="11" t="str">
        <f aca="false">IF(J153&lt;=0,"Current",IF(J153&lt;=30,"1-30 days",IF(J153&lt;=60,"31-60 days",IF(J153&lt;=90,"61-90 days","90+ days"))))</f>
        <v>Current</v>
      </c>
    </row>
    <row r="154" customFormat="false" ht="15" hidden="false" customHeight="false" outlineLevel="0" collapsed="false">
      <c r="A154" s="10" t="s">
        <v>486</v>
      </c>
      <c r="B154" s="10" t="s">
        <v>487</v>
      </c>
      <c r="C154" s="10" t="s">
        <v>488</v>
      </c>
      <c r="D154" s="10" t="s">
        <v>304</v>
      </c>
      <c r="E154" s="10" t="n">
        <v>30</v>
      </c>
      <c r="F154" s="10" t="n">
        <v>4809.14</v>
      </c>
      <c r="G154" s="10" t="s">
        <v>489</v>
      </c>
      <c r="H154" s="11" t="str">
        <f aca="false">IF(G154="","Open","Paid")</f>
        <v>Paid</v>
      </c>
      <c r="I154" s="11" t="n">
        <f aca="false">IF(G154="","",DATEVALUE(G154)-DATEVALUE(C154))</f>
        <v>37</v>
      </c>
      <c r="J154" s="11" t="n">
        <f aca="true">IF(G154="",TODAY()-DATEVALUE(D154),DATEVALUE(G154)-DATEVALUE(D154))</f>
        <v>7</v>
      </c>
      <c r="K154" s="11" t="str">
        <f aca="false">IF(J154&lt;=0,"Current",IF(J154&lt;=30,"1-30 days",IF(J154&lt;=60,"31-60 days",IF(J154&lt;=90,"61-90 days","90+ days"))))</f>
        <v>1-30 days</v>
      </c>
    </row>
    <row r="155" customFormat="false" ht="15" hidden="false" customHeight="false" outlineLevel="0" collapsed="false">
      <c r="A155" s="10" t="s">
        <v>490</v>
      </c>
      <c r="B155" s="10" t="s">
        <v>33</v>
      </c>
      <c r="C155" s="10" t="s">
        <v>98</v>
      </c>
      <c r="D155" s="10" t="s">
        <v>417</v>
      </c>
      <c r="E155" s="10" t="n">
        <v>45</v>
      </c>
      <c r="F155" s="10" t="n">
        <v>4139.64</v>
      </c>
      <c r="G155" s="10" t="s">
        <v>215</v>
      </c>
      <c r="H155" s="11" t="str">
        <f aca="false">IF(G155="","Open","Paid")</f>
        <v>Paid</v>
      </c>
      <c r="I155" s="11" t="n">
        <f aca="false">IF(G155="","",DATEVALUE(G155)-DATEVALUE(C155))</f>
        <v>98</v>
      </c>
      <c r="J155" s="11" t="n">
        <f aca="true">IF(G155="",TODAY()-DATEVALUE(D155),DATEVALUE(G155)-DATEVALUE(D155))</f>
        <v>53</v>
      </c>
      <c r="K155" s="11" t="str">
        <f aca="false">IF(J155&lt;=0,"Current",IF(J155&lt;=30,"1-30 days",IF(J155&lt;=60,"31-60 days",IF(J155&lt;=90,"61-90 days","90+ days"))))</f>
        <v>31-60 days</v>
      </c>
    </row>
    <row r="156" customFormat="false" ht="15" hidden="false" customHeight="false" outlineLevel="0" collapsed="false">
      <c r="A156" s="10" t="s">
        <v>491</v>
      </c>
      <c r="B156" s="10" t="s">
        <v>55</v>
      </c>
      <c r="C156" s="10" t="s">
        <v>389</v>
      </c>
      <c r="D156" s="10" t="s">
        <v>492</v>
      </c>
      <c r="E156" s="10" t="n">
        <v>45</v>
      </c>
      <c r="F156" s="10" t="n">
        <v>4048.89</v>
      </c>
      <c r="G156" s="10"/>
      <c r="H156" s="11" t="str">
        <f aca="false">IF(G156="","Open","Paid")</f>
        <v>Open</v>
      </c>
      <c r="I156" s="11" t="str">
        <f aca="false">IF(G156="","",DATEVALUE(G156)-DATEVALUE(C156))</f>
        <v/>
      </c>
      <c r="J156" s="11" t="n">
        <f aca="true">IF(G156="",TODAY()-DATEVALUE(D156),DATEVALUE(G156)-DATEVALUE(D156))</f>
        <v>-3</v>
      </c>
      <c r="K156" s="11" t="str">
        <f aca="false">IF(J156&lt;=0,"Current",IF(J156&lt;=30,"1-30 days",IF(J156&lt;=60,"31-60 days",IF(J156&lt;=90,"61-90 days","90+ days"))))</f>
        <v>Current</v>
      </c>
    </row>
    <row r="157" customFormat="false" ht="15" hidden="false" customHeight="false" outlineLevel="0" collapsed="false">
      <c r="A157" s="10" t="s">
        <v>493</v>
      </c>
      <c r="B157" s="10" t="s">
        <v>147</v>
      </c>
      <c r="C157" s="10" t="s">
        <v>494</v>
      </c>
      <c r="D157" s="10" t="s">
        <v>495</v>
      </c>
      <c r="E157" s="10" t="n">
        <v>30</v>
      </c>
      <c r="F157" s="10" t="n">
        <v>4516.41</v>
      </c>
      <c r="G157" s="10" t="s">
        <v>222</v>
      </c>
      <c r="H157" s="11" t="str">
        <f aca="false">IF(G157="","Open","Paid")</f>
        <v>Paid</v>
      </c>
      <c r="I157" s="11" t="n">
        <f aca="false">IF(G157="","",DATEVALUE(G157)-DATEVALUE(C157))</f>
        <v>26</v>
      </c>
      <c r="J157" s="11" t="n">
        <f aca="true">IF(G157="",TODAY()-DATEVALUE(D157),DATEVALUE(G157)-DATEVALUE(D157))</f>
        <v>-4</v>
      </c>
      <c r="K157" s="11" t="str">
        <f aca="false">IF(J157&lt;=0,"Current",IF(J157&lt;=30,"1-30 days",IF(J157&lt;=60,"31-60 days",IF(J157&lt;=90,"61-90 days","90+ days"))))</f>
        <v>Current</v>
      </c>
    </row>
    <row r="158" customFormat="false" ht="15" hidden="false" customHeight="false" outlineLevel="0" collapsed="false">
      <c r="A158" s="10" t="s">
        <v>496</v>
      </c>
      <c r="B158" s="10" t="s">
        <v>123</v>
      </c>
      <c r="C158" s="10" t="s">
        <v>263</v>
      </c>
      <c r="D158" s="10" t="s">
        <v>230</v>
      </c>
      <c r="E158" s="10" t="n">
        <v>60</v>
      </c>
      <c r="F158" s="10" t="n">
        <v>897.66</v>
      </c>
      <c r="G158" s="10"/>
      <c r="H158" s="11" t="str">
        <f aca="false">IF(G158="","Open","Paid")</f>
        <v>Open</v>
      </c>
      <c r="I158" s="11" t="str">
        <f aca="false">IF(G158="","",DATEVALUE(G158)-DATEVALUE(C158))</f>
        <v/>
      </c>
      <c r="J158" s="11" t="n">
        <f aca="true">IF(G158="",TODAY()-DATEVALUE(D158),DATEVALUE(G158)-DATEVALUE(D158))</f>
        <v>45</v>
      </c>
      <c r="K158" s="11" t="str">
        <f aca="false">IF(J158&lt;=0,"Current",IF(J158&lt;=30,"1-30 days",IF(J158&lt;=60,"31-60 days",IF(J158&lt;=90,"61-90 days","90+ days"))))</f>
        <v>31-60 days</v>
      </c>
    </row>
    <row r="159" customFormat="false" ht="15" hidden="false" customHeight="false" outlineLevel="0" collapsed="false">
      <c r="A159" s="10" t="s">
        <v>497</v>
      </c>
      <c r="B159" s="10" t="s">
        <v>297</v>
      </c>
      <c r="C159" s="10" t="s">
        <v>312</v>
      </c>
      <c r="D159" s="10" t="s">
        <v>154</v>
      </c>
      <c r="E159" s="10" t="n">
        <v>30</v>
      </c>
      <c r="F159" s="10" t="n">
        <v>4067.51</v>
      </c>
      <c r="G159" s="10" t="s">
        <v>98</v>
      </c>
      <c r="H159" s="11" t="str">
        <f aca="false">IF(G159="","Open","Paid")</f>
        <v>Paid</v>
      </c>
      <c r="I159" s="11" t="n">
        <f aca="false">IF(G159="","",DATEVALUE(G159)-DATEVALUE(C159))</f>
        <v>39</v>
      </c>
      <c r="J159" s="11" t="n">
        <f aca="true">IF(G159="",TODAY()-DATEVALUE(D159),DATEVALUE(G159)-DATEVALUE(D159))</f>
        <v>9</v>
      </c>
      <c r="K159" s="11" t="str">
        <f aca="false">IF(J159&lt;=0,"Current",IF(J159&lt;=30,"1-30 days",IF(J159&lt;=60,"31-60 days",IF(J159&lt;=90,"61-90 days","90+ days"))))</f>
        <v>1-30 days</v>
      </c>
    </row>
    <row r="160" customFormat="false" ht="15" hidden="false" customHeight="false" outlineLevel="0" collapsed="false">
      <c r="A160" s="10" t="s">
        <v>498</v>
      </c>
      <c r="B160" s="10" t="s">
        <v>92</v>
      </c>
      <c r="C160" s="10" t="s">
        <v>237</v>
      </c>
      <c r="D160" s="10" t="s">
        <v>241</v>
      </c>
      <c r="E160" s="10" t="n">
        <v>45</v>
      </c>
      <c r="F160" s="10" t="n">
        <v>10114.53</v>
      </c>
      <c r="G160" s="10" t="s">
        <v>266</v>
      </c>
      <c r="H160" s="11" t="str">
        <f aca="false">IF(G160="","Open","Paid")</f>
        <v>Paid</v>
      </c>
      <c r="I160" s="11" t="n">
        <f aca="false">IF(G160="","",DATEVALUE(G160)-DATEVALUE(C160))</f>
        <v>59</v>
      </c>
      <c r="J160" s="11" t="n">
        <f aca="true">IF(G160="",TODAY()-DATEVALUE(D160),DATEVALUE(G160)-DATEVALUE(D160))</f>
        <v>14</v>
      </c>
      <c r="K160" s="11" t="str">
        <f aca="false">IF(J160&lt;=0,"Current",IF(J160&lt;=30,"1-30 days",IF(J160&lt;=60,"31-60 days",IF(J160&lt;=90,"61-90 days","90+ days"))))</f>
        <v>1-30 days</v>
      </c>
    </row>
    <row r="161" customFormat="false" ht="15" hidden="false" customHeight="false" outlineLevel="0" collapsed="false">
      <c r="A161" s="10" t="s">
        <v>499</v>
      </c>
      <c r="B161" s="10" t="s">
        <v>33</v>
      </c>
      <c r="C161" s="10" t="s">
        <v>500</v>
      </c>
      <c r="D161" s="10" t="s">
        <v>53</v>
      </c>
      <c r="E161" s="10" t="n">
        <v>30</v>
      </c>
      <c r="F161" s="10" t="n">
        <v>9670.61</v>
      </c>
      <c r="G161" s="10" t="s">
        <v>239</v>
      </c>
      <c r="H161" s="11" t="str">
        <f aca="false">IF(G161="","Open","Paid")</f>
        <v>Paid</v>
      </c>
      <c r="I161" s="11" t="n">
        <f aca="false">IF(G161="","",DATEVALUE(G161)-DATEVALUE(C161))</f>
        <v>37</v>
      </c>
      <c r="J161" s="11" t="n">
        <f aca="true">IF(G161="",TODAY()-DATEVALUE(D161),DATEVALUE(G161)-DATEVALUE(D161))</f>
        <v>7</v>
      </c>
      <c r="K161" s="11" t="str">
        <f aca="false">IF(J161&lt;=0,"Current",IF(J161&lt;=30,"1-30 days",IF(J161&lt;=60,"31-60 days",IF(J161&lt;=90,"61-90 days","90+ days"))))</f>
        <v>1-30 days</v>
      </c>
    </row>
    <row r="162" customFormat="false" ht="15" hidden="false" customHeight="false" outlineLevel="0" collapsed="false">
      <c r="A162" s="10" t="s">
        <v>501</v>
      </c>
      <c r="B162" s="10" t="s">
        <v>156</v>
      </c>
      <c r="C162" s="10" t="s">
        <v>389</v>
      </c>
      <c r="D162" s="10" t="s">
        <v>502</v>
      </c>
      <c r="E162" s="10" t="n">
        <v>30</v>
      </c>
      <c r="F162" s="10" t="n">
        <v>4910.26</v>
      </c>
      <c r="G162" s="10" t="s">
        <v>226</v>
      </c>
      <c r="H162" s="11" t="str">
        <f aca="false">IF(G162="","Open","Paid")</f>
        <v>Paid</v>
      </c>
      <c r="I162" s="11" t="n">
        <f aca="false">IF(G162="","",DATEVALUE(G162)-DATEVALUE(C162))</f>
        <v>19</v>
      </c>
      <c r="J162" s="11" t="n">
        <f aca="true">IF(G162="",TODAY()-DATEVALUE(D162),DATEVALUE(G162)-DATEVALUE(D162))</f>
        <v>-11</v>
      </c>
      <c r="K162" s="11" t="str">
        <f aca="false">IF(J162&lt;=0,"Current",IF(J162&lt;=30,"1-30 days",IF(J162&lt;=60,"31-60 days",IF(J162&lt;=90,"61-90 days","90+ days"))))</f>
        <v>Current</v>
      </c>
    </row>
    <row r="163" customFormat="false" ht="15" hidden="false" customHeight="false" outlineLevel="0" collapsed="false">
      <c r="A163" s="10" t="s">
        <v>503</v>
      </c>
      <c r="B163" s="10" t="s">
        <v>119</v>
      </c>
      <c r="C163" s="10" t="s">
        <v>504</v>
      </c>
      <c r="D163" s="10" t="s">
        <v>161</v>
      </c>
      <c r="E163" s="10" t="n">
        <v>30</v>
      </c>
      <c r="F163" s="10" t="n">
        <v>4811.17</v>
      </c>
      <c r="G163" s="10" t="s">
        <v>129</v>
      </c>
      <c r="H163" s="11" t="str">
        <f aca="false">IF(G163="","Open","Paid")</f>
        <v>Paid</v>
      </c>
      <c r="I163" s="11" t="n">
        <f aca="false">IF(G163="","",DATEVALUE(G163)-DATEVALUE(C163))</f>
        <v>38</v>
      </c>
      <c r="J163" s="11" t="n">
        <f aca="true">IF(G163="",TODAY()-DATEVALUE(D163),DATEVALUE(G163)-DATEVALUE(D163))</f>
        <v>8</v>
      </c>
      <c r="K163" s="11" t="str">
        <f aca="false">IF(J163&lt;=0,"Current",IF(J163&lt;=30,"1-30 days",IF(J163&lt;=60,"31-60 days",IF(J163&lt;=90,"61-90 days","90+ days"))))</f>
        <v>1-30 days</v>
      </c>
    </row>
    <row r="164" customFormat="false" ht="15" hidden="false" customHeight="false" outlineLevel="0" collapsed="false">
      <c r="A164" s="10" t="s">
        <v>505</v>
      </c>
      <c r="B164" s="10" t="s">
        <v>229</v>
      </c>
      <c r="C164" s="10" t="s">
        <v>204</v>
      </c>
      <c r="D164" s="10" t="s">
        <v>506</v>
      </c>
      <c r="E164" s="10" t="n">
        <v>30</v>
      </c>
      <c r="F164" s="10" t="n">
        <v>700.59</v>
      </c>
      <c r="G164" s="10" t="s">
        <v>149</v>
      </c>
      <c r="H164" s="11" t="str">
        <f aca="false">IF(G164="","Open","Paid")</f>
        <v>Paid</v>
      </c>
      <c r="I164" s="11" t="n">
        <f aca="false">IF(G164="","",DATEVALUE(G164)-DATEVALUE(C164))</f>
        <v>40</v>
      </c>
      <c r="J164" s="11" t="n">
        <f aca="true">IF(G164="",TODAY()-DATEVALUE(D164),DATEVALUE(G164)-DATEVALUE(D164))</f>
        <v>10</v>
      </c>
      <c r="K164" s="11" t="str">
        <f aca="false">IF(J164&lt;=0,"Current",IF(J164&lt;=30,"1-30 days",IF(J164&lt;=60,"31-60 days",IF(J164&lt;=90,"61-90 days","90+ days"))))</f>
        <v>1-30 days</v>
      </c>
    </row>
    <row r="165" customFormat="false" ht="15" hidden="false" customHeight="false" outlineLevel="0" collapsed="false">
      <c r="A165" s="10" t="s">
        <v>507</v>
      </c>
      <c r="B165" s="10" t="s">
        <v>469</v>
      </c>
      <c r="C165" s="10" t="s">
        <v>508</v>
      </c>
      <c r="D165" s="10" t="s">
        <v>509</v>
      </c>
      <c r="E165" s="10" t="n">
        <v>30</v>
      </c>
      <c r="F165" s="10" t="n">
        <v>3373.89</v>
      </c>
      <c r="G165" s="10"/>
      <c r="H165" s="11" t="str">
        <f aca="false">IF(G165="","Open","Paid")</f>
        <v>Open</v>
      </c>
      <c r="I165" s="11" t="str">
        <f aca="false">IF(G165="","",DATEVALUE(G165)-DATEVALUE(C165))</f>
        <v/>
      </c>
      <c r="J165" s="11" t="n">
        <f aca="true">IF(G165="",TODAY()-DATEVALUE(D165),DATEVALUE(G165)-DATEVALUE(D165))</f>
        <v>-14</v>
      </c>
      <c r="K165" s="11" t="str">
        <f aca="false">IF(J165&lt;=0,"Current",IF(J165&lt;=30,"1-30 days",IF(J165&lt;=60,"31-60 days",IF(J165&lt;=90,"61-90 days","90+ days"))))</f>
        <v>Current</v>
      </c>
    </row>
    <row r="166" customFormat="false" ht="15" hidden="false" customHeight="false" outlineLevel="0" collapsed="false">
      <c r="A166" s="10" t="s">
        <v>510</v>
      </c>
      <c r="B166" s="10" t="s">
        <v>270</v>
      </c>
      <c r="C166" s="10" t="s">
        <v>98</v>
      </c>
      <c r="D166" s="10" t="s">
        <v>213</v>
      </c>
      <c r="E166" s="10" t="n">
        <v>60</v>
      </c>
      <c r="F166" s="10" t="n">
        <v>7127.65</v>
      </c>
      <c r="G166" s="10" t="s">
        <v>349</v>
      </c>
      <c r="H166" s="11" t="str">
        <f aca="false">IF(G166="","Open","Paid")</f>
        <v>Paid</v>
      </c>
      <c r="I166" s="11" t="n">
        <f aca="false">IF(G166="","",DATEVALUE(G166)-DATEVALUE(C166))</f>
        <v>49</v>
      </c>
      <c r="J166" s="11" t="n">
        <f aca="true">IF(G166="",TODAY()-DATEVALUE(D166),DATEVALUE(G166)-DATEVALUE(D166))</f>
        <v>-11</v>
      </c>
      <c r="K166" s="11" t="str">
        <f aca="false">IF(J166&lt;=0,"Current",IF(J166&lt;=30,"1-30 days",IF(J166&lt;=60,"31-60 days",IF(J166&lt;=90,"61-90 days","90+ days"))))</f>
        <v>Current</v>
      </c>
    </row>
    <row r="167" customFormat="false" ht="15" hidden="false" customHeight="false" outlineLevel="0" collapsed="false">
      <c r="A167" s="10" t="s">
        <v>511</v>
      </c>
      <c r="B167" s="10" t="s">
        <v>114</v>
      </c>
      <c r="C167" s="10" t="s">
        <v>512</v>
      </c>
      <c r="D167" s="10" t="s">
        <v>434</v>
      </c>
      <c r="E167" s="10" t="n">
        <v>45</v>
      </c>
      <c r="F167" s="10" t="n">
        <v>3756.82</v>
      </c>
      <c r="G167" s="10" t="s">
        <v>291</v>
      </c>
      <c r="H167" s="11" t="str">
        <f aca="false">IF(G167="","Open","Paid")</f>
        <v>Paid</v>
      </c>
      <c r="I167" s="11" t="n">
        <f aca="false">IF(G167="","",DATEVALUE(G167)-DATEVALUE(C167))</f>
        <v>95</v>
      </c>
      <c r="J167" s="11" t="n">
        <f aca="true">IF(G167="",TODAY()-DATEVALUE(D167),DATEVALUE(G167)-DATEVALUE(D167))</f>
        <v>50</v>
      </c>
      <c r="K167" s="11" t="str">
        <f aca="false">IF(J167&lt;=0,"Current",IF(J167&lt;=30,"1-30 days",IF(J167&lt;=60,"31-60 days",IF(J167&lt;=90,"61-90 days","90+ days"))))</f>
        <v>31-60 days</v>
      </c>
    </row>
    <row r="168" customFormat="false" ht="15" hidden="false" customHeight="false" outlineLevel="0" collapsed="false">
      <c r="A168" s="10" t="s">
        <v>513</v>
      </c>
      <c r="B168" s="10" t="s">
        <v>147</v>
      </c>
      <c r="C168" s="10" t="s">
        <v>207</v>
      </c>
      <c r="D168" s="10" t="s">
        <v>208</v>
      </c>
      <c r="E168" s="10" t="n">
        <v>30</v>
      </c>
      <c r="F168" s="10" t="n">
        <v>8509.56</v>
      </c>
      <c r="G168" s="10" t="s">
        <v>26</v>
      </c>
      <c r="H168" s="11" t="str">
        <f aca="false">IF(G168="","Open","Paid")</f>
        <v>Paid</v>
      </c>
      <c r="I168" s="11" t="n">
        <f aca="false">IF(G168="","",DATEVALUE(G168)-DATEVALUE(C168))</f>
        <v>80</v>
      </c>
      <c r="J168" s="11" t="n">
        <f aca="true">IF(G168="",TODAY()-DATEVALUE(D168),DATEVALUE(G168)-DATEVALUE(D168))</f>
        <v>50</v>
      </c>
      <c r="K168" s="11" t="str">
        <f aca="false">IF(J168&lt;=0,"Current",IF(J168&lt;=30,"1-30 days",IF(J168&lt;=60,"31-60 days",IF(J168&lt;=90,"61-90 days","90+ days"))))</f>
        <v>31-60 days</v>
      </c>
    </row>
    <row r="169" customFormat="false" ht="15" hidden="false" customHeight="false" outlineLevel="0" collapsed="false">
      <c r="A169" s="10" t="s">
        <v>514</v>
      </c>
      <c r="B169" s="10" t="s">
        <v>64</v>
      </c>
      <c r="C169" s="10" t="s">
        <v>515</v>
      </c>
      <c r="D169" s="10" t="s">
        <v>237</v>
      </c>
      <c r="E169" s="10" t="n">
        <v>30</v>
      </c>
      <c r="F169" s="10" t="n">
        <v>8222.07</v>
      </c>
      <c r="G169" s="10" t="s">
        <v>237</v>
      </c>
      <c r="H169" s="11" t="str">
        <f aca="false">IF(G169="","Open","Paid")</f>
        <v>Paid</v>
      </c>
      <c r="I169" s="11" t="n">
        <f aca="false">IF(G169="","",DATEVALUE(G169)-DATEVALUE(C169))</f>
        <v>30</v>
      </c>
      <c r="J169" s="11" t="n">
        <f aca="true">IF(G169="",TODAY()-DATEVALUE(D169),DATEVALUE(G169)-DATEVALUE(D169))</f>
        <v>0</v>
      </c>
      <c r="K169" s="11" t="str">
        <f aca="false">IF(J169&lt;=0,"Current",IF(J169&lt;=30,"1-30 days",IF(J169&lt;=60,"31-60 days",IF(J169&lt;=90,"61-90 days","90+ days"))))</f>
        <v>Current</v>
      </c>
    </row>
    <row r="170" customFormat="false" ht="15" hidden="false" customHeight="false" outlineLevel="0" collapsed="false">
      <c r="A170" s="10" t="s">
        <v>516</v>
      </c>
      <c r="B170" s="10" t="s">
        <v>38</v>
      </c>
      <c r="C170" s="10" t="s">
        <v>517</v>
      </c>
      <c r="D170" s="10" t="s">
        <v>300</v>
      </c>
      <c r="E170" s="10" t="n">
        <v>30</v>
      </c>
      <c r="F170" s="10" t="n">
        <v>3331.52</v>
      </c>
      <c r="G170" s="10" t="s">
        <v>120</v>
      </c>
      <c r="H170" s="11" t="str">
        <f aca="false">IF(G170="","Open","Paid")</f>
        <v>Paid</v>
      </c>
      <c r="I170" s="11" t="n">
        <f aca="false">IF(G170="","",DATEVALUE(G170)-DATEVALUE(C170))</f>
        <v>16</v>
      </c>
      <c r="J170" s="11" t="n">
        <f aca="true">IF(G170="",TODAY()-DATEVALUE(D170),DATEVALUE(G170)-DATEVALUE(D170))</f>
        <v>-14</v>
      </c>
      <c r="K170" s="11" t="str">
        <f aca="false">IF(J170&lt;=0,"Current",IF(J170&lt;=30,"1-30 days",IF(J170&lt;=60,"31-60 days",IF(J170&lt;=90,"61-90 days","90+ days"))))</f>
        <v>Current</v>
      </c>
    </row>
    <row r="171" customFormat="false" ht="15" hidden="false" customHeight="false" outlineLevel="0" collapsed="false">
      <c r="A171" s="10" t="s">
        <v>518</v>
      </c>
      <c r="B171" s="10" t="s">
        <v>92</v>
      </c>
      <c r="C171" s="10" t="s">
        <v>519</v>
      </c>
      <c r="D171" s="10" t="s">
        <v>520</v>
      </c>
      <c r="E171" s="10" t="n">
        <v>30</v>
      </c>
      <c r="F171" s="10" t="n">
        <v>5132.53</v>
      </c>
      <c r="G171" s="10" t="s">
        <v>34</v>
      </c>
      <c r="H171" s="11" t="str">
        <f aca="false">IF(G171="","Open","Paid")</f>
        <v>Paid</v>
      </c>
      <c r="I171" s="11" t="n">
        <f aca="false">IF(G171="","",DATEVALUE(G171)-DATEVALUE(C171))</f>
        <v>34</v>
      </c>
      <c r="J171" s="11" t="n">
        <f aca="true">IF(G171="",TODAY()-DATEVALUE(D171),DATEVALUE(G171)-DATEVALUE(D171))</f>
        <v>4</v>
      </c>
      <c r="K171" s="11" t="str">
        <f aca="false">IF(J171&lt;=0,"Current",IF(J171&lt;=30,"1-30 days",IF(J171&lt;=60,"31-60 days",IF(J171&lt;=90,"61-90 days","90+ days"))))</f>
        <v>1-30 days</v>
      </c>
    </row>
    <row r="172" customFormat="false" ht="15" hidden="false" customHeight="false" outlineLevel="0" collapsed="false">
      <c r="A172" s="10" t="s">
        <v>521</v>
      </c>
      <c r="B172" s="10" t="s">
        <v>276</v>
      </c>
      <c r="C172" s="10" t="s">
        <v>522</v>
      </c>
      <c r="D172" s="10" t="s">
        <v>523</v>
      </c>
      <c r="E172" s="10" t="n">
        <v>60</v>
      </c>
      <c r="F172" s="10" t="n">
        <v>10561.8</v>
      </c>
      <c r="G172" s="10" t="s">
        <v>389</v>
      </c>
      <c r="H172" s="11" t="str">
        <f aca="false">IF(G172="","Open","Paid")</f>
        <v>Paid</v>
      </c>
      <c r="I172" s="11" t="n">
        <f aca="false">IF(G172="","",DATEVALUE(G172)-DATEVALUE(C172))</f>
        <v>66</v>
      </c>
      <c r="J172" s="11" t="n">
        <f aca="true">IF(G172="",TODAY()-DATEVALUE(D172),DATEVALUE(G172)-DATEVALUE(D172))</f>
        <v>6</v>
      </c>
      <c r="K172" s="11" t="str">
        <f aca="false">IF(J172&lt;=0,"Current",IF(J172&lt;=30,"1-30 days",IF(J172&lt;=60,"31-60 days",IF(J172&lt;=90,"61-90 days","90+ days"))))</f>
        <v>1-30 days</v>
      </c>
    </row>
    <row r="173" customFormat="false" ht="15" hidden="false" customHeight="false" outlineLevel="0" collapsed="false">
      <c r="A173" s="10" t="s">
        <v>524</v>
      </c>
      <c r="B173" s="10" t="s">
        <v>315</v>
      </c>
      <c r="C173" s="10" t="s">
        <v>268</v>
      </c>
      <c r="D173" s="10" t="s">
        <v>416</v>
      </c>
      <c r="E173" s="10" t="n">
        <v>30</v>
      </c>
      <c r="F173" s="10" t="n">
        <v>1722.45</v>
      </c>
      <c r="G173" s="10" t="s">
        <v>417</v>
      </c>
      <c r="H173" s="11" t="str">
        <f aca="false">IF(G173="","Open","Paid")</f>
        <v>Paid</v>
      </c>
      <c r="I173" s="11" t="n">
        <f aca="false">IF(G173="","",DATEVALUE(G173)-DATEVALUE(C173))</f>
        <v>31</v>
      </c>
      <c r="J173" s="11" t="n">
        <f aca="true">IF(G173="",TODAY()-DATEVALUE(D173),DATEVALUE(G173)-DATEVALUE(D173))</f>
        <v>1</v>
      </c>
      <c r="K173" s="11" t="str">
        <f aca="false">IF(J173&lt;=0,"Current",IF(J173&lt;=30,"1-30 days",IF(J173&lt;=60,"31-60 days",IF(J173&lt;=90,"61-90 days","90+ days"))))</f>
        <v>1-30 days</v>
      </c>
    </row>
    <row r="174" customFormat="false" ht="15" hidden="false" customHeight="false" outlineLevel="0" collapsed="false">
      <c r="A174" s="10" t="s">
        <v>525</v>
      </c>
      <c r="B174" s="10" t="s">
        <v>23</v>
      </c>
      <c r="C174" s="10" t="s">
        <v>295</v>
      </c>
      <c r="D174" s="10" t="s">
        <v>526</v>
      </c>
      <c r="E174" s="10" t="n">
        <v>30</v>
      </c>
      <c r="F174" s="10" t="n">
        <v>3809.45</v>
      </c>
      <c r="G174" s="10" t="s">
        <v>527</v>
      </c>
      <c r="H174" s="11" t="str">
        <f aca="false">IF(G174="","Open","Paid")</f>
        <v>Paid</v>
      </c>
      <c r="I174" s="11" t="n">
        <f aca="false">IF(G174="","",DATEVALUE(G174)-DATEVALUE(C174))</f>
        <v>32</v>
      </c>
      <c r="J174" s="11" t="n">
        <f aca="true">IF(G174="",TODAY()-DATEVALUE(D174),DATEVALUE(G174)-DATEVALUE(D174))</f>
        <v>2</v>
      </c>
      <c r="K174" s="11" t="str">
        <f aca="false">IF(J174&lt;=0,"Current",IF(J174&lt;=30,"1-30 days",IF(J174&lt;=60,"31-60 days",IF(J174&lt;=90,"61-90 days","90+ days"))))</f>
        <v>1-30 days</v>
      </c>
    </row>
    <row r="175" customFormat="false" ht="15" hidden="false" customHeight="false" outlineLevel="0" collapsed="false">
      <c r="A175" s="10" t="s">
        <v>528</v>
      </c>
      <c r="B175" s="10" t="s">
        <v>185</v>
      </c>
      <c r="C175" s="10" t="s">
        <v>529</v>
      </c>
      <c r="D175" s="10" t="s">
        <v>48</v>
      </c>
      <c r="E175" s="10" t="n">
        <v>30</v>
      </c>
      <c r="F175" s="10" t="n">
        <v>1592.79</v>
      </c>
      <c r="G175" s="10" t="s">
        <v>530</v>
      </c>
      <c r="H175" s="11" t="str">
        <f aca="false">IF(G175="","Open","Paid")</f>
        <v>Paid</v>
      </c>
      <c r="I175" s="11" t="n">
        <f aca="false">IF(G175="","",DATEVALUE(G175)-DATEVALUE(C175))</f>
        <v>26</v>
      </c>
      <c r="J175" s="11" t="n">
        <f aca="true">IF(G175="",TODAY()-DATEVALUE(D175),DATEVALUE(G175)-DATEVALUE(D175))</f>
        <v>-4</v>
      </c>
      <c r="K175" s="11" t="str">
        <f aca="false">IF(J175&lt;=0,"Current",IF(J175&lt;=30,"1-30 days",IF(J175&lt;=60,"31-60 days",IF(J175&lt;=90,"61-90 days","90+ days"))))</f>
        <v>Current</v>
      </c>
    </row>
    <row r="176" customFormat="false" ht="15" hidden="false" customHeight="false" outlineLevel="0" collapsed="false">
      <c r="A176" s="10" t="s">
        <v>531</v>
      </c>
      <c r="B176" s="10" t="s">
        <v>42</v>
      </c>
      <c r="C176" s="10" t="s">
        <v>532</v>
      </c>
      <c r="D176" s="10" t="s">
        <v>533</v>
      </c>
      <c r="E176" s="10" t="n">
        <v>30</v>
      </c>
      <c r="F176" s="10" t="n">
        <v>2688.24</v>
      </c>
      <c r="G176" s="10" t="s">
        <v>352</v>
      </c>
      <c r="H176" s="11" t="str">
        <f aca="false">IF(G176="","Open","Paid")</f>
        <v>Paid</v>
      </c>
      <c r="I176" s="11" t="n">
        <f aca="false">IF(G176="","",DATEVALUE(G176)-DATEVALUE(C176))</f>
        <v>47</v>
      </c>
      <c r="J176" s="11" t="n">
        <f aca="true">IF(G176="",TODAY()-DATEVALUE(D176),DATEVALUE(G176)-DATEVALUE(D176))</f>
        <v>17</v>
      </c>
      <c r="K176" s="11" t="str">
        <f aca="false">IF(J176&lt;=0,"Current",IF(J176&lt;=30,"1-30 days",IF(J176&lt;=60,"31-60 days",IF(J176&lt;=90,"61-90 days","90+ days"))))</f>
        <v>1-30 days</v>
      </c>
    </row>
    <row r="177" customFormat="false" ht="15" hidden="false" customHeight="false" outlineLevel="0" collapsed="false">
      <c r="A177" s="10" t="s">
        <v>534</v>
      </c>
      <c r="B177" s="10" t="s">
        <v>102</v>
      </c>
      <c r="C177" s="10" t="s">
        <v>61</v>
      </c>
      <c r="D177" s="10" t="s">
        <v>368</v>
      </c>
      <c r="E177" s="10" t="n">
        <v>30</v>
      </c>
      <c r="F177" s="10" t="n">
        <v>12282.56</v>
      </c>
      <c r="G177" s="10"/>
      <c r="H177" s="11" t="str">
        <f aca="false">IF(G177="","Open","Paid")</f>
        <v>Open</v>
      </c>
      <c r="I177" s="11" t="str">
        <f aca="false">IF(G177="","",DATEVALUE(G177)-DATEVALUE(C177))</f>
        <v/>
      </c>
      <c r="J177" s="11" t="n">
        <f aca="true">IF(G177="",TODAY()-DATEVALUE(D177),DATEVALUE(G177)-DATEVALUE(D177))</f>
        <v>-11</v>
      </c>
      <c r="K177" s="11" t="str">
        <f aca="false">IF(J177&lt;=0,"Current",IF(J177&lt;=30,"1-30 days",IF(J177&lt;=60,"31-60 days",IF(J177&lt;=90,"61-90 days","90+ days"))))</f>
        <v>Current</v>
      </c>
    </row>
    <row r="178" customFormat="false" ht="15" hidden="false" customHeight="false" outlineLevel="0" collapsed="false">
      <c r="A178" s="10" t="s">
        <v>535</v>
      </c>
      <c r="B178" s="10" t="s">
        <v>256</v>
      </c>
      <c r="C178" s="10" t="s">
        <v>285</v>
      </c>
      <c r="D178" s="10" t="s">
        <v>67</v>
      </c>
      <c r="E178" s="10" t="n">
        <v>45</v>
      </c>
      <c r="F178" s="10" t="n">
        <v>3808.64</v>
      </c>
      <c r="G178" s="10" t="s">
        <v>536</v>
      </c>
      <c r="H178" s="11" t="str">
        <f aca="false">IF(G178="","Open","Paid")</f>
        <v>Paid</v>
      </c>
      <c r="I178" s="11" t="n">
        <f aca="false">IF(G178="","",DATEVALUE(G178)-DATEVALUE(C178))</f>
        <v>37</v>
      </c>
      <c r="J178" s="11" t="n">
        <f aca="true">IF(G178="",TODAY()-DATEVALUE(D178),DATEVALUE(G178)-DATEVALUE(D178))</f>
        <v>-8</v>
      </c>
      <c r="K178" s="11" t="str">
        <f aca="false">IF(J178&lt;=0,"Current",IF(J178&lt;=30,"1-30 days",IF(J178&lt;=60,"31-60 days",IF(J178&lt;=90,"61-90 days","90+ days"))))</f>
        <v>Current</v>
      </c>
    </row>
    <row r="179" customFormat="false" ht="15" hidden="false" customHeight="false" outlineLevel="0" collapsed="false">
      <c r="A179" s="10" t="s">
        <v>537</v>
      </c>
      <c r="B179" s="10" t="s">
        <v>256</v>
      </c>
      <c r="C179" s="10" t="s">
        <v>538</v>
      </c>
      <c r="D179" s="10" t="s">
        <v>520</v>
      </c>
      <c r="E179" s="10" t="n">
        <v>45</v>
      </c>
      <c r="F179" s="10" t="n">
        <v>1092.21</v>
      </c>
      <c r="G179" s="10" t="s">
        <v>520</v>
      </c>
      <c r="H179" s="11" t="str">
        <f aca="false">IF(G179="","Open","Paid")</f>
        <v>Paid</v>
      </c>
      <c r="I179" s="11" t="n">
        <f aca="false">IF(G179="","",DATEVALUE(G179)-DATEVALUE(C179))</f>
        <v>45</v>
      </c>
      <c r="J179" s="11" t="n">
        <f aca="true">IF(G179="",TODAY()-DATEVALUE(D179),DATEVALUE(G179)-DATEVALUE(D179))</f>
        <v>0</v>
      </c>
      <c r="K179" s="11" t="str">
        <f aca="false">IF(J179&lt;=0,"Current",IF(J179&lt;=30,"1-30 days",IF(J179&lt;=60,"31-60 days",IF(J179&lt;=90,"61-90 days","90+ days"))))</f>
        <v>Current</v>
      </c>
    </row>
    <row r="180" customFormat="false" ht="15" hidden="false" customHeight="false" outlineLevel="0" collapsed="false">
      <c r="A180" s="10" t="s">
        <v>539</v>
      </c>
      <c r="B180" s="10" t="s">
        <v>151</v>
      </c>
      <c r="C180" s="10" t="s">
        <v>540</v>
      </c>
      <c r="D180" s="10" t="s">
        <v>237</v>
      </c>
      <c r="E180" s="10" t="n">
        <v>60</v>
      </c>
      <c r="F180" s="10" t="n">
        <v>2423.79</v>
      </c>
      <c r="G180" s="10" t="s">
        <v>84</v>
      </c>
      <c r="H180" s="11" t="str">
        <f aca="false">IF(G180="","Open","Paid")</f>
        <v>Paid</v>
      </c>
      <c r="I180" s="11" t="n">
        <f aca="false">IF(G180="","",DATEVALUE(G180)-DATEVALUE(C180))</f>
        <v>70</v>
      </c>
      <c r="J180" s="11" t="n">
        <f aca="true">IF(G180="",TODAY()-DATEVALUE(D180),DATEVALUE(G180)-DATEVALUE(D180))</f>
        <v>10</v>
      </c>
      <c r="K180" s="11" t="str">
        <f aca="false">IF(J180&lt;=0,"Current",IF(J180&lt;=30,"1-30 days",IF(J180&lt;=60,"31-60 days",IF(J180&lt;=90,"61-90 days","90+ days"))))</f>
        <v>1-30 days</v>
      </c>
    </row>
    <row r="181" customFormat="false" ht="15" hidden="false" customHeight="false" outlineLevel="0" collapsed="false">
      <c r="A181" s="10" t="s">
        <v>541</v>
      </c>
      <c r="B181" s="10" t="s">
        <v>147</v>
      </c>
      <c r="C181" s="10" t="s">
        <v>208</v>
      </c>
      <c r="D181" s="10" t="s">
        <v>542</v>
      </c>
      <c r="E181" s="10" t="n">
        <v>45</v>
      </c>
      <c r="F181" s="10" t="n">
        <v>1465.49</v>
      </c>
      <c r="G181" s="10" t="s">
        <v>98</v>
      </c>
      <c r="H181" s="11" t="str">
        <f aca="false">IF(G181="","Open","Paid")</f>
        <v>Paid</v>
      </c>
      <c r="I181" s="11" t="n">
        <f aca="false">IF(G181="","",DATEVALUE(G181)-DATEVALUE(C181))</f>
        <v>71</v>
      </c>
      <c r="J181" s="11" t="n">
        <f aca="true">IF(G181="",TODAY()-DATEVALUE(D181),DATEVALUE(G181)-DATEVALUE(D181))</f>
        <v>26</v>
      </c>
      <c r="K181" s="11" t="str">
        <f aca="false">IF(J181&lt;=0,"Current",IF(J181&lt;=30,"1-30 days",IF(J181&lt;=60,"31-60 days",IF(J181&lt;=90,"61-90 days","90+ days"))))</f>
        <v>1-30 days</v>
      </c>
    </row>
    <row r="182" customFormat="false" ht="15" hidden="false" customHeight="false" outlineLevel="0" collapsed="false">
      <c r="A182" s="10" t="s">
        <v>543</v>
      </c>
      <c r="B182" s="10" t="s">
        <v>278</v>
      </c>
      <c r="C182" s="10" t="s">
        <v>540</v>
      </c>
      <c r="D182" s="10" t="s">
        <v>515</v>
      </c>
      <c r="E182" s="10" t="n">
        <v>30</v>
      </c>
      <c r="F182" s="10" t="n">
        <v>5250.26</v>
      </c>
      <c r="G182" s="10" t="s">
        <v>48</v>
      </c>
      <c r="H182" s="11" t="str">
        <f aca="false">IF(G182="","Open","Paid")</f>
        <v>Paid</v>
      </c>
      <c r="I182" s="11" t="n">
        <f aca="false">IF(G182="","",DATEVALUE(G182)-DATEVALUE(C182))</f>
        <v>14</v>
      </c>
      <c r="J182" s="11" t="n">
        <f aca="true">IF(G182="",TODAY()-DATEVALUE(D182),DATEVALUE(G182)-DATEVALUE(D182))</f>
        <v>-16</v>
      </c>
      <c r="K182" s="11" t="str">
        <f aca="false">IF(J182&lt;=0,"Current",IF(J182&lt;=30,"1-30 days",IF(J182&lt;=60,"31-60 days",IF(J182&lt;=90,"61-90 days","90+ days"))))</f>
        <v>Current</v>
      </c>
    </row>
    <row r="183" customFormat="false" ht="15" hidden="false" customHeight="false" outlineLevel="0" collapsed="false">
      <c r="A183" s="10" t="s">
        <v>544</v>
      </c>
      <c r="B183" s="10" t="s">
        <v>270</v>
      </c>
      <c r="C183" s="10" t="s">
        <v>128</v>
      </c>
      <c r="D183" s="10" t="s">
        <v>36</v>
      </c>
      <c r="E183" s="10" t="n">
        <v>45</v>
      </c>
      <c r="F183" s="10" t="n">
        <v>6134.65</v>
      </c>
      <c r="G183" s="10" t="s">
        <v>372</v>
      </c>
      <c r="H183" s="11" t="str">
        <f aca="false">IF(G183="","Open","Paid")</f>
        <v>Paid</v>
      </c>
      <c r="I183" s="11" t="n">
        <f aca="false">IF(G183="","",DATEVALUE(G183)-DATEVALUE(C183))</f>
        <v>20</v>
      </c>
      <c r="J183" s="11" t="n">
        <f aca="true">IF(G183="",TODAY()-DATEVALUE(D183),DATEVALUE(G183)-DATEVALUE(D183))</f>
        <v>-25</v>
      </c>
      <c r="K183" s="11" t="str">
        <f aca="false">IF(J183&lt;=0,"Current",IF(J183&lt;=30,"1-30 days",IF(J183&lt;=60,"31-60 days",IF(J183&lt;=90,"61-90 days","90+ days"))))</f>
        <v>Current</v>
      </c>
    </row>
    <row r="184" customFormat="false" ht="15" hidden="false" customHeight="false" outlineLevel="0" collapsed="false">
      <c r="A184" s="10" t="s">
        <v>545</v>
      </c>
      <c r="B184" s="10" t="s">
        <v>82</v>
      </c>
      <c r="C184" s="10" t="s">
        <v>323</v>
      </c>
      <c r="D184" s="10" t="s">
        <v>286</v>
      </c>
      <c r="E184" s="10" t="n">
        <v>60</v>
      </c>
      <c r="F184" s="10" t="n">
        <v>7776.03</v>
      </c>
      <c r="G184" s="10" t="s">
        <v>286</v>
      </c>
      <c r="H184" s="11" t="str">
        <f aca="false">IF(G184="","Open","Paid")</f>
        <v>Paid</v>
      </c>
      <c r="I184" s="11" t="n">
        <f aca="false">IF(G184="","",DATEVALUE(G184)-DATEVALUE(C184))</f>
        <v>60</v>
      </c>
      <c r="J184" s="11" t="n">
        <f aca="true">IF(G184="",TODAY()-DATEVALUE(D184),DATEVALUE(G184)-DATEVALUE(D184))</f>
        <v>0</v>
      </c>
      <c r="K184" s="11" t="str">
        <f aca="false">IF(J184&lt;=0,"Current",IF(J184&lt;=30,"1-30 days",IF(J184&lt;=60,"31-60 days",IF(J184&lt;=90,"61-90 days","90+ days"))))</f>
        <v>Current</v>
      </c>
    </row>
    <row r="185" customFormat="false" ht="15" hidden="false" customHeight="false" outlineLevel="0" collapsed="false">
      <c r="A185" s="10" t="s">
        <v>546</v>
      </c>
      <c r="B185" s="10" t="s">
        <v>270</v>
      </c>
      <c r="C185" s="10" t="s">
        <v>547</v>
      </c>
      <c r="D185" s="10" t="s">
        <v>548</v>
      </c>
      <c r="E185" s="10" t="n">
        <v>45</v>
      </c>
      <c r="F185" s="10" t="n">
        <v>6910.87</v>
      </c>
      <c r="G185" s="10"/>
      <c r="H185" s="11" t="str">
        <f aca="false">IF(G185="","Open","Paid")</f>
        <v>Open</v>
      </c>
      <c r="I185" s="11" t="str">
        <f aca="false">IF(G185="","",DATEVALUE(G185)-DATEVALUE(C185))</f>
        <v/>
      </c>
      <c r="J185" s="11" t="n">
        <f aca="true">IF(G185="",TODAY()-DATEVALUE(D185),DATEVALUE(G185)-DATEVALUE(D185))</f>
        <v>72</v>
      </c>
      <c r="K185" s="11" t="str">
        <f aca="false">IF(J185&lt;=0,"Current",IF(J185&lt;=30,"1-30 days",IF(J185&lt;=60,"31-60 days",IF(J185&lt;=90,"61-90 days","90+ days"))))</f>
        <v>61-90 days</v>
      </c>
    </row>
    <row r="186" customFormat="false" ht="15" hidden="false" customHeight="false" outlineLevel="0" collapsed="false">
      <c r="A186" s="10" t="s">
        <v>549</v>
      </c>
      <c r="B186" s="10" t="s">
        <v>315</v>
      </c>
      <c r="C186" s="10" t="s">
        <v>24</v>
      </c>
      <c r="D186" s="10" t="s">
        <v>550</v>
      </c>
      <c r="E186" s="10" t="n">
        <v>60</v>
      </c>
      <c r="F186" s="10" t="n">
        <v>1784.48</v>
      </c>
      <c r="G186" s="10" t="s">
        <v>194</v>
      </c>
      <c r="H186" s="11" t="str">
        <f aca="false">IF(G186="","Open","Paid")</f>
        <v>Paid</v>
      </c>
      <c r="I186" s="11" t="n">
        <f aca="false">IF(G186="","",DATEVALUE(G186)-DATEVALUE(C186))</f>
        <v>55</v>
      </c>
      <c r="J186" s="11" t="n">
        <f aca="true">IF(G186="",TODAY()-DATEVALUE(D186),DATEVALUE(G186)-DATEVALUE(D186))</f>
        <v>-5</v>
      </c>
      <c r="K186" s="11" t="str">
        <f aca="false">IF(J186&lt;=0,"Current",IF(J186&lt;=30,"1-30 days",IF(J186&lt;=60,"31-60 days",IF(J186&lt;=90,"61-90 days","90+ days"))))</f>
        <v>Current</v>
      </c>
    </row>
    <row r="187" customFormat="false" ht="15" hidden="false" customHeight="false" outlineLevel="0" collapsed="false">
      <c r="A187" s="10" t="s">
        <v>551</v>
      </c>
      <c r="B187" s="10" t="s">
        <v>256</v>
      </c>
      <c r="C187" s="10" t="s">
        <v>312</v>
      </c>
      <c r="D187" s="10" t="s">
        <v>313</v>
      </c>
      <c r="E187" s="10" t="n">
        <v>45</v>
      </c>
      <c r="F187" s="10" t="n">
        <v>5956.03</v>
      </c>
      <c r="G187" s="10" t="s">
        <v>323</v>
      </c>
      <c r="H187" s="11" t="str">
        <f aca="false">IF(G187="","Open","Paid")</f>
        <v>Paid</v>
      </c>
      <c r="I187" s="11" t="n">
        <f aca="false">IF(G187="","",DATEVALUE(G187)-DATEVALUE(C187))</f>
        <v>52</v>
      </c>
      <c r="J187" s="11" t="n">
        <f aca="true">IF(G187="",TODAY()-DATEVALUE(D187),DATEVALUE(G187)-DATEVALUE(D187))</f>
        <v>7</v>
      </c>
      <c r="K187" s="11" t="str">
        <f aca="false">IF(J187&lt;=0,"Current",IF(J187&lt;=30,"1-30 days",IF(J187&lt;=60,"31-60 days",IF(J187&lt;=90,"61-90 days","90+ days"))))</f>
        <v>1-30 days</v>
      </c>
    </row>
    <row r="188" customFormat="false" ht="15" hidden="false" customHeight="false" outlineLevel="0" collapsed="false">
      <c r="A188" s="10" t="s">
        <v>552</v>
      </c>
      <c r="B188" s="10" t="s">
        <v>144</v>
      </c>
      <c r="C188" s="10" t="s">
        <v>553</v>
      </c>
      <c r="D188" s="10" t="s">
        <v>430</v>
      </c>
      <c r="E188" s="10" t="n">
        <v>45</v>
      </c>
      <c r="F188" s="10" t="n">
        <v>4397.39</v>
      </c>
      <c r="G188" s="10" t="s">
        <v>120</v>
      </c>
      <c r="H188" s="11" t="str">
        <f aca="false">IF(G188="","Open","Paid")</f>
        <v>Paid</v>
      </c>
      <c r="I188" s="11" t="n">
        <f aca="false">IF(G188="","",DATEVALUE(G188)-DATEVALUE(C188))</f>
        <v>37</v>
      </c>
      <c r="J188" s="11" t="n">
        <f aca="true">IF(G188="",TODAY()-DATEVALUE(D188),DATEVALUE(G188)-DATEVALUE(D188))</f>
        <v>-8</v>
      </c>
      <c r="K188" s="11" t="str">
        <f aca="false">IF(J188&lt;=0,"Current",IF(J188&lt;=30,"1-30 days",IF(J188&lt;=60,"31-60 days",IF(J188&lt;=90,"61-90 days","90+ days"))))</f>
        <v>Current</v>
      </c>
    </row>
    <row r="189" customFormat="false" ht="15" hidden="false" customHeight="false" outlineLevel="0" collapsed="false">
      <c r="A189" s="10" t="s">
        <v>554</v>
      </c>
      <c r="B189" s="10" t="s">
        <v>297</v>
      </c>
      <c r="C189" s="10" t="s">
        <v>43</v>
      </c>
      <c r="D189" s="10" t="s">
        <v>555</v>
      </c>
      <c r="E189" s="10" t="n">
        <v>30</v>
      </c>
      <c r="F189" s="10" t="n">
        <v>8412.26</v>
      </c>
      <c r="G189" s="10" t="s">
        <v>234</v>
      </c>
      <c r="H189" s="11" t="str">
        <f aca="false">IF(G189="","Open","Paid")</f>
        <v>Paid</v>
      </c>
      <c r="I189" s="11" t="n">
        <f aca="false">IF(G189="","",DATEVALUE(G189)-DATEVALUE(C189))</f>
        <v>32</v>
      </c>
      <c r="J189" s="11" t="n">
        <f aca="true">IF(G189="",TODAY()-DATEVALUE(D189),DATEVALUE(G189)-DATEVALUE(D189))</f>
        <v>2</v>
      </c>
      <c r="K189" s="11" t="str">
        <f aca="false">IF(J189&lt;=0,"Current",IF(J189&lt;=30,"1-30 days",IF(J189&lt;=60,"31-60 days",IF(J189&lt;=90,"61-90 days","90+ days"))))</f>
        <v>1-30 days</v>
      </c>
    </row>
    <row r="190" customFormat="false" ht="15" hidden="false" customHeight="false" outlineLevel="0" collapsed="false">
      <c r="A190" s="10" t="s">
        <v>556</v>
      </c>
      <c r="B190" s="10" t="s">
        <v>278</v>
      </c>
      <c r="C190" s="10" t="s">
        <v>157</v>
      </c>
      <c r="D190" s="10" t="s">
        <v>194</v>
      </c>
      <c r="E190" s="10" t="n">
        <v>45</v>
      </c>
      <c r="F190" s="10" t="n">
        <v>7359.74</v>
      </c>
      <c r="G190" s="10" t="s">
        <v>348</v>
      </c>
      <c r="H190" s="11" t="str">
        <f aca="false">IF(G190="","Open","Paid")</f>
        <v>Paid</v>
      </c>
      <c r="I190" s="11" t="n">
        <f aca="false">IF(G190="","",DATEVALUE(G190)-DATEVALUE(C190))</f>
        <v>89</v>
      </c>
      <c r="J190" s="11" t="n">
        <f aca="true">IF(G190="",TODAY()-DATEVALUE(D190),DATEVALUE(G190)-DATEVALUE(D190))</f>
        <v>44</v>
      </c>
      <c r="K190" s="11" t="str">
        <f aca="false">IF(J190&lt;=0,"Current",IF(J190&lt;=30,"1-30 days",IF(J190&lt;=60,"31-60 days",IF(J190&lt;=90,"61-90 days","90+ days"))))</f>
        <v>31-60 days</v>
      </c>
    </row>
    <row r="191" customFormat="false" ht="15" hidden="false" customHeight="false" outlineLevel="0" collapsed="false">
      <c r="A191" s="10" t="s">
        <v>557</v>
      </c>
      <c r="B191" s="10" t="s">
        <v>297</v>
      </c>
      <c r="C191" s="10" t="s">
        <v>558</v>
      </c>
      <c r="D191" s="10" t="s">
        <v>559</v>
      </c>
      <c r="E191" s="10" t="n">
        <v>30</v>
      </c>
      <c r="F191" s="10" t="n">
        <v>13176.34</v>
      </c>
      <c r="G191" s="10" t="s">
        <v>560</v>
      </c>
      <c r="H191" s="11" t="str">
        <f aca="false">IF(G191="","Open","Paid")</f>
        <v>Paid</v>
      </c>
      <c r="I191" s="11" t="n">
        <f aca="false">IF(G191="","",DATEVALUE(G191)-DATEVALUE(C191))</f>
        <v>92</v>
      </c>
      <c r="J191" s="11" t="n">
        <f aca="true">IF(G191="",TODAY()-DATEVALUE(D191),DATEVALUE(G191)-DATEVALUE(D191))</f>
        <v>62</v>
      </c>
      <c r="K191" s="11" t="str">
        <f aca="false">IF(J191&lt;=0,"Current",IF(J191&lt;=30,"1-30 days",IF(J191&lt;=60,"31-60 days",IF(J191&lt;=90,"61-90 days","90+ days"))))</f>
        <v>61-90 days</v>
      </c>
    </row>
    <row r="192" customFormat="false" ht="15" hidden="false" customHeight="false" outlineLevel="0" collapsed="false">
      <c r="A192" s="10" t="s">
        <v>561</v>
      </c>
      <c r="B192" s="10" t="s">
        <v>46</v>
      </c>
      <c r="C192" s="10" t="s">
        <v>529</v>
      </c>
      <c r="D192" s="10" t="s">
        <v>48</v>
      </c>
      <c r="E192" s="10" t="n">
        <v>30</v>
      </c>
      <c r="F192" s="10" t="n">
        <v>2559.17</v>
      </c>
      <c r="G192" s="10" t="s">
        <v>372</v>
      </c>
      <c r="H192" s="11" t="str">
        <f aca="false">IF(G192="","Open","Paid")</f>
        <v>Paid</v>
      </c>
      <c r="I192" s="11" t="n">
        <f aca="false">IF(G192="","",DATEVALUE(G192)-DATEVALUE(C192))</f>
        <v>35</v>
      </c>
      <c r="J192" s="11" t="n">
        <f aca="true">IF(G192="",TODAY()-DATEVALUE(D192),DATEVALUE(G192)-DATEVALUE(D192))</f>
        <v>5</v>
      </c>
      <c r="K192" s="11" t="str">
        <f aca="false">IF(J192&lt;=0,"Current",IF(J192&lt;=30,"1-30 days",IF(J192&lt;=60,"31-60 days",IF(J192&lt;=90,"61-90 days","90+ days"))))</f>
        <v>1-30 days</v>
      </c>
    </row>
    <row r="193" customFormat="false" ht="15" hidden="false" customHeight="false" outlineLevel="0" collapsed="false">
      <c r="A193" s="10" t="s">
        <v>562</v>
      </c>
      <c r="B193" s="10" t="s">
        <v>185</v>
      </c>
      <c r="C193" s="10" t="s">
        <v>563</v>
      </c>
      <c r="D193" s="10" t="s">
        <v>230</v>
      </c>
      <c r="E193" s="10" t="n">
        <v>45</v>
      </c>
      <c r="F193" s="10" t="n">
        <v>2312.89</v>
      </c>
      <c r="G193" s="10" t="s">
        <v>148</v>
      </c>
      <c r="H193" s="11" t="str">
        <f aca="false">IF(G193="","Open","Paid")</f>
        <v>Paid</v>
      </c>
      <c r="I193" s="11" t="n">
        <f aca="false">IF(G193="","",DATEVALUE(G193)-DATEVALUE(C193))</f>
        <v>61</v>
      </c>
      <c r="J193" s="11" t="n">
        <f aca="true">IF(G193="",TODAY()-DATEVALUE(D193),DATEVALUE(G193)-DATEVALUE(D193))</f>
        <v>16</v>
      </c>
      <c r="K193" s="11" t="str">
        <f aca="false">IF(J193&lt;=0,"Current",IF(J193&lt;=30,"1-30 days",IF(J193&lt;=60,"31-60 days",IF(J193&lt;=90,"61-90 days","90+ days"))))</f>
        <v>1-30 days</v>
      </c>
    </row>
    <row r="194" customFormat="false" ht="15" hidden="false" customHeight="false" outlineLevel="0" collapsed="false">
      <c r="A194" s="10" t="s">
        <v>564</v>
      </c>
      <c r="B194" s="10" t="s">
        <v>55</v>
      </c>
      <c r="C194" s="10" t="s">
        <v>218</v>
      </c>
      <c r="D194" s="10" t="s">
        <v>565</v>
      </c>
      <c r="E194" s="10" t="n">
        <v>60</v>
      </c>
      <c r="F194" s="10" t="n">
        <v>3508.03</v>
      </c>
      <c r="G194" s="10"/>
      <c r="H194" s="11" t="str">
        <f aca="false">IF(G194="","Open","Paid")</f>
        <v>Open</v>
      </c>
      <c r="I194" s="11" t="str">
        <f aca="false">IF(G194="","",DATEVALUE(G194)-DATEVALUE(C194))</f>
        <v/>
      </c>
      <c r="J194" s="11" t="n">
        <f aca="true">IF(G194="",TODAY()-DATEVALUE(D194),DATEVALUE(G194)-DATEVALUE(D194))</f>
        <v>-13</v>
      </c>
      <c r="K194" s="11" t="str">
        <f aca="false">IF(J194&lt;=0,"Current",IF(J194&lt;=30,"1-30 days",IF(J194&lt;=60,"31-60 days",IF(J194&lt;=90,"61-90 days","90+ days"))))</f>
        <v>Current</v>
      </c>
    </row>
    <row r="195" customFormat="false" ht="15" hidden="false" customHeight="false" outlineLevel="0" collapsed="false">
      <c r="A195" s="10" t="s">
        <v>566</v>
      </c>
      <c r="B195" s="10" t="s">
        <v>119</v>
      </c>
      <c r="C195" s="10" t="s">
        <v>207</v>
      </c>
      <c r="D195" s="10" t="s">
        <v>239</v>
      </c>
      <c r="E195" s="10" t="n">
        <v>60</v>
      </c>
      <c r="F195" s="10" t="n">
        <v>4505.26</v>
      </c>
      <c r="G195" s="10" t="s">
        <v>116</v>
      </c>
      <c r="H195" s="11" t="str">
        <f aca="false">IF(G195="","Open","Paid")</f>
        <v>Paid</v>
      </c>
      <c r="I195" s="11" t="n">
        <f aca="false">IF(G195="","",DATEVALUE(G195)-DATEVALUE(C195))</f>
        <v>72</v>
      </c>
      <c r="J195" s="11" t="n">
        <f aca="true">IF(G195="",TODAY()-DATEVALUE(D195),DATEVALUE(G195)-DATEVALUE(D195))</f>
        <v>12</v>
      </c>
      <c r="K195" s="11" t="str">
        <f aca="false">IF(J195&lt;=0,"Current",IF(J195&lt;=30,"1-30 days",IF(J195&lt;=60,"31-60 days",IF(J195&lt;=90,"61-90 days","90+ days"))))</f>
        <v>1-30 days</v>
      </c>
    </row>
    <row r="196" customFormat="false" ht="15" hidden="false" customHeight="false" outlineLevel="0" collapsed="false">
      <c r="A196" s="10" t="s">
        <v>567</v>
      </c>
      <c r="B196" s="10" t="s">
        <v>568</v>
      </c>
      <c r="C196" s="10" t="s">
        <v>231</v>
      </c>
      <c r="D196" s="10" t="s">
        <v>137</v>
      </c>
      <c r="E196" s="10" t="n">
        <v>30</v>
      </c>
      <c r="F196" s="10" t="n">
        <v>3078.45</v>
      </c>
      <c r="G196" s="10"/>
      <c r="H196" s="11" t="str">
        <f aca="false">IF(G196="","Open","Paid")</f>
        <v>Open</v>
      </c>
      <c r="I196" s="11" t="str">
        <f aca="false">IF(G196="","",DATEVALUE(G196)-DATEVALUE(C196))</f>
        <v/>
      </c>
      <c r="J196" s="11" t="n">
        <f aca="true">IF(G196="",TODAY()-DATEVALUE(D196),DATEVALUE(G196)-DATEVALUE(D196))</f>
        <v>28</v>
      </c>
      <c r="K196" s="11" t="str">
        <f aca="false">IF(J196&lt;=0,"Current",IF(J196&lt;=30,"1-30 days",IF(J196&lt;=60,"31-60 days",IF(J196&lt;=90,"61-90 days","90+ days"))))</f>
        <v>1-30 days</v>
      </c>
    </row>
    <row r="197" customFormat="false" ht="15" hidden="false" customHeight="false" outlineLevel="0" collapsed="false">
      <c r="A197" s="10" t="s">
        <v>569</v>
      </c>
      <c r="B197" s="10" t="s">
        <v>119</v>
      </c>
      <c r="C197" s="10" t="s">
        <v>559</v>
      </c>
      <c r="D197" s="10" t="s">
        <v>226</v>
      </c>
      <c r="E197" s="10" t="n">
        <v>45</v>
      </c>
      <c r="F197" s="10" t="n">
        <v>2651.13</v>
      </c>
      <c r="G197" s="10" t="s">
        <v>190</v>
      </c>
      <c r="H197" s="11" t="str">
        <f aca="false">IF(G197="","Open","Paid")</f>
        <v>Paid</v>
      </c>
      <c r="I197" s="11" t="n">
        <f aca="false">IF(G197="","",DATEVALUE(G197)-DATEVALUE(C197))</f>
        <v>28</v>
      </c>
      <c r="J197" s="11" t="n">
        <f aca="true">IF(G197="",TODAY()-DATEVALUE(D197),DATEVALUE(G197)-DATEVALUE(D197))</f>
        <v>-17</v>
      </c>
      <c r="K197" s="11" t="str">
        <f aca="false">IF(J197&lt;=0,"Current",IF(J197&lt;=30,"1-30 days",IF(J197&lt;=60,"31-60 days",IF(J197&lt;=90,"61-90 days","90+ days"))))</f>
        <v>Current</v>
      </c>
    </row>
    <row r="198" customFormat="false" ht="15" hidden="false" customHeight="false" outlineLevel="0" collapsed="false">
      <c r="A198" s="10" t="s">
        <v>570</v>
      </c>
      <c r="B198" s="10" t="s">
        <v>270</v>
      </c>
      <c r="C198" s="10" t="s">
        <v>222</v>
      </c>
      <c r="D198" s="10" t="s">
        <v>186</v>
      </c>
      <c r="E198" s="10" t="n">
        <v>45</v>
      </c>
      <c r="F198" s="10" t="n">
        <v>5728.68</v>
      </c>
      <c r="G198" s="10" t="s">
        <v>318</v>
      </c>
      <c r="H198" s="11" t="str">
        <f aca="false">IF(G198="","Open","Paid")</f>
        <v>Paid</v>
      </c>
      <c r="I198" s="11" t="n">
        <f aca="false">IF(G198="","",DATEVALUE(G198)-DATEVALUE(C198))</f>
        <v>52</v>
      </c>
      <c r="J198" s="11" t="n">
        <f aca="true">IF(G198="",TODAY()-DATEVALUE(D198),DATEVALUE(G198)-DATEVALUE(D198))</f>
        <v>7</v>
      </c>
      <c r="K198" s="11" t="str">
        <f aca="false">IF(J198&lt;=0,"Current",IF(J198&lt;=30,"1-30 days",IF(J198&lt;=60,"31-60 days",IF(J198&lt;=90,"61-90 days","90+ days"))))</f>
        <v>1-30 days</v>
      </c>
    </row>
    <row r="199" customFormat="false" ht="15" hidden="false" customHeight="false" outlineLevel="0" collapsed="false">
      <c r="A199" s="10" t="s">
        <v>571</v>
      </c>
      <c r="B199" s="10" t="s">
        <v>351</v>
      </c>
      <c r="C199" s="10" t="s">
        <v>373</v>
      </c>
      <c r="D199" s="10" t="s">
        <v>572</v>
      </c>
      <c r="E199" s="10" t="n">
        <v>30</v>
      </c>
      <c r="F199" s="10" t="n">
        <v>3501.15</v>
      </c>
      <c r="G199" s="10" t="s">
        <v>207</v>
      </c>
      <c r="H199" s="11" t="str">
        <f aca="false">IF(G199="","Open","Paid")</f>
        <v>Paid</v>
      </c>
      <c r="I199" s="11" t="n">
        <f aca="false">IF(G199="","",DATEVALUE(G199)-DATEVALUE(C199))</f>
        <v>16</v>
      </c>
      <c r="J199" s="11" t="n">
        <f aca="true">IF(G199="",TODAY()-DATEVALUE(D199),DATEVALUE(G199)-DATEVALUE(D199))</f>
        <v>-14</v>
      </c>
      <c r="K199" s="11" t="str">
        <f aca="false">IF(J199&lt;=0,"Current",IF(J199&lt;=30,"1-30 days",IF(J199&lt;=60,"31-60 days",IF(J199&lt;=90,"61-90 days","90+ days"))))</f>
        <v>Current</v>
      </c>
    </row>
    <row r="200" customFormat="false" ht="15" hidden="false" customHeight="false" outlineLevel="0" collapsed="false">
      <c r="A200" s="10" t="s">
        <v>573</v>
      </c>
      <c r="B200" s="10" t="s">
        <v>64</v>
      </c>
      <c r="C200" s="10" t="s">
        <v>307</v>
      </c>
      <c r="D200" s="10" t="s">
        <v>257</v>
      </c>
      <c r="E200" s="10" t="n">
        <v>30</v>
      </c>
      <c r="F200" s="10" t="n">
        <v>2993.25</v>
      </c>
      <c r="G200" s="10" t="s">
        <v>137</v>
      </c>
      <c r="H200" s="11" t="str">
        <f aca="false">IF(G200="","Open","Paid")</f>
        <v>Paid</v>
      </c>
      <c r="I200" s="11" t="n">
        <f aca="false">IF(G200="","",DATEVALUE(G200)-DATEVALUE(C200))</f>
        <v>46</v>
      </c>
      <c r="J200" s="11" t="n">
        <f aca="true">IF(G200="",TODAY()-DATEVALUE(D200),DATEVALUE(G200)-DATEVALUE(D200))</f>
        <v>16</v>
      </c>
      <c r="K200" s="11" t="str">
        <f aca="false">IF(J200&lt;=0,"Current",IF(J200&lt;=30,"1-30 days",IF(J200&lt;=60,"31-60 days",IF(J200&lt;=90,"61-90 days","90+ days"))))</f>
        <v>1-30 days</v>
      </c>
    </row>
    <row r="201" customFormat="false" ht="15" hidden="false" customHeight="false" outlineLevel="0" collapsed="false">
      <c r="A201" s="10" t="s">
        <v>574</v>
      </c>
      <c r="B201" s="10" t="s">
        <v>87</v>
      </c>
      <c r="C201" s="10" t="s">
        <v>326</v>
      </c>
      <c r="D201" s="10" t="s">
        <v>93</v>
      </c>
      <c r="E201" s="10" t="n">
        <v>30</v>
      </c>
      <c r="F201" s="10" t="n">
        <v>1782.02</v>
      </c>
      <c r="G201" s="10" t="s">
        <v>136</v>
      </c>
      <c r="H201" s="11" t="str">
        <f aca="false">IF(G201="","Open","Paid")</f>
        <v>Paid</v>
      </c>
      <c r="I201" s="11" t="n">
        <f aca="false">IF(G201="","",DATEVALUE(G201)-DATEVALUE(C201))</f>
        <v>42</v>
      </c>
      <c r="J201" s="11" t="n">
        <f aca="true">IF(G201="",TODAY()-DATEVALUE(D201),DATEVALUE(G201)-DATEVALUE(D201))</f>
        <v>12</v>
      </c>
      <c r="K201" s="11" t="str">
        <f aca="false">IF(J201&lt;=0,"Current",IF(J201&lt;=30,"1-30 days",IF(J201&lt;=60,"31-60 days",IF(J201&lt;=90,"61-90 days","90+ days"))))</f>
        <v>1-30 days</v>
      </c>
    </row>
    <row r="202" customFormat="false" ht="15" hidden="false" customHeight="false" outlineLevel="0" collapsed="false">
      <c r="A202" s="10" t="s">
        <v>575</v>
      </c>
      <c r="B202" s="10" t="s">
        <v>102</v>
      </c>
      <c r="C202" s="10" t="s">
        <v>35</v>
      </c>
      <c r="D202" s="10" t="s">
        <v>413</v>
      </c>
      <c r="E202" s="10" t="n">
        <v>45</v>
      </c>
      <c r="F202" s="10" t="n">
        <v>759.04</v>
      </c>
      <c r="G202" s="10" t="s">
        <v>78</v>
      </c>
      <c r="H202" s="11" t="str">
        <f aca="false">IF(G202="","Open","Paid")</f>
        <v>Paid</v>
      </c>
      <c r="I202" s="11" t="n">
        <f aca="false">IF(G202="","",DATEVALUE(G202)-DATEVALUE(C202))</f>
        <v>48</v>
      </c>
      <c r="J202" s="11" t="n">
        <f aca="true">IF(G202="",TODAY()-DATEVALUE(D202),DATEVALUE(G202)-DATEVALUE(D202))</f>
        <v>3</v>
      </c>
      <c r="K202" s="11" t="str">
        <f aca="false">IF(J202&lt;=0,"Current",IF(J202&lt;=30,"1-30 days",IF(J202&lt;=60,"31-60 days",IF(J202&lt;=90,"61-90 days","90+ days"))))</f>
        <v>1-30 days</v>
      </c>
    </row>
    <row r="203" customFormat="false" ht="15" hidden="false" customHeight="false" outlineLevel="0" collapsed="false">
      <c r="A203" s="10" t="s">
        <v>576</v>
      </c>
      <c r="B203" s="10" t="s">
        <v>568</v>
      </c>
      <c r="C203" s="10" t="s">
        <v>124</v>
      </c>
      <c r="D203" s="10" t="s">
        <v>577</v>
      </c>
      <c r="E203" s="10" t="n">
        <v>30</v>
      </c>
      <c r="F203" s="10" t="n">
        <v>9842.82</v>
      </c>
      <c r="G203" s="10" t="s">
        <v>578</v>
      </c>
      <c r="H203" s="11" t="str">
        <f aca="false">IF(G203="","Open","Paid")</f>
        <v>Paid</v>
      </c>
      <c r="I203" s="11" t="n">
        <f aca="false">IF(G203="","",DATEVALUE(G203)-DATEVALUE(C203))</f>
        <v>31</v>
      </c>
      <c r="J203" s="11" t="n">
        <f aca="true">IF(G203="",TODAY()-DATEVALUE(D203),DATEVALUE(G203)-DATEVALUE(D203))</f>
        <v>1</v>
      </c>
      <c r="K203" s="11" t="str">
        <f aca="false">IF(J203&lt;=0,"Current",IF(J203&lt;=30,"1-30 days",IF(J203&lt;=60,"31-60 days",IF(J203&lt;=90,"61-90 days","90+ days"))))</f>
        <v>1-30 days</v>
      </c>
    </row>
    <row r="204" customFormat="false" ht="15" hidden="false" customHeight="false" outlineLevel="0" collapsed="false">
      <c r="A204" s="10" t="s">
        <v>579</v>
      </c>
      <c r="B204" s="10" t="s">
        <v>97</v>
      </c>
      <c r="C204" s="10" t="s">
        <v>348</v>
      </c>
      <c r="D204" s="10" t="s">
        <v>580</v>
      </c>
      <c r="E204" s="10" t="n">
        <v>60</v>
      </c>
      <c r="F204" s="10" t="n">
        <v>9680.55</v>
      </c>
      <c r="G204" s="10" t="s">
        <v>249</v>
      </c>
      <c r="H204" s="11" t="str">
        <f aca="false">IF(G204="","Open","Paid")</f>
        <v>Paid</v>
      </c>
      <c r="I204" s="11" t="n">
        <f aca="false">IF(G204="","",DATEVALUE(G204)-DATEVALUE(C204))</f>
        <v>57</v>
      </c>
      <c r="J204" s="11" t="n">
        <f aca="true">IF(G204="",TODAY()-DATEVALUE(D204),DATEVALUE(G204)-DATEVALUE(D204))</f>
        <v>-3</v>
      </c>
      <c r="K204" s="11" t="str">
        <f aca="false">IF(J204&lt;=0,"Current",IF(J204&lt;=30,"1-30 days",IF(J204&lt;=60,"31-60 days",IF(J204&lt;=90,"61-90 days","90+ days"))))</f>
        <v>Current</v>
      </c>
    </row>
    <row r="205" customFormat="false" ht="15" hidden="false" customHeight="false" outlineLevel="0" collapsed="false">
      <c r="A205" s="10" t="s">
        <v>581</v>
      </c>
      <c r="B205" s="10" t="s">
        <v>469</v>
      </c>
      <c r="C205" s="10" t="s">
        <v>94</v>
      </c>
      <c r="D205" s="10" t="s">
        <v>227</v>
      </c>
      <c r="E205" s="10" t="n">
        <v>30</v>
      </c>
      <c r="F205" s="10" t="n">
        <v>7487.25</v>
      </c>
      <c r="G205" s="10" t="s">
        <v>489</v>
      </c>
      <c r="H205" s="11" t="str">
        <f aca="false">IF(G205="","Open","Paid")</f>
        <v>Paid</v>
      </c>
      <c r="I205" s="11" t="n">
        <f aca="false">IF(G205="","",DATEVALUE(G205)-DATEVALUE(C205))</f>
        <v>38</v>
      </c>
      <c r="J205" s="11" t="n">
        <f aca="true">IF(G205="",TODAY()-DATEVALUE(D205),DATEVALUE(G205)-DATEVALUE(D205))</f>
        <v>8</v>
      </c>
      <c r="K205" s="11" t="str">
        <f aca="false">IF(J205&lt;=0,"Current",IF(J205&lt;=30,"1-30 days",IF(J205&lt;=60,"31-60 days",IF(J205&lt;=90,"61-90 days","90+ days"))))</f>
        <v>1-30 days</v>
      </c>
    </row>
    <row r="206" customFormat="false" ht="15" hidden="false" customHeight="false" outlineLevel="0" collapsed="false">
      <c r="A206" s="10" t="s">
        <v>582</v>
      </c>
      <c r="B206" s="10" t="s">
        <v>87</v>
      </c>
      <c r="C206" s="10" t="s">
        <v>254</v>
      </c>
      <c r="D206" s="10" t="s">
        <v>583</v>
      </c>
      <c r="E206" s="10" t="n">
        <v>60</v>
      </c>
      <c r="F206" s="10" t="n">
        <v>6510.68</v>
      </c>
      <c r="G206" s="10"/>
      <c r="H206" s="11" t="str">
        <f aca="false">IF(G206="","Open","Paid")</f>
        <v>Open</v>
      </c>
      <c r="I206" s="11" t="str">
        <f aca="false">IF(G206="","",DATEVALUE(G206)-DATEVALUE(C206))</f>
        <v/>
      </c>
      <c r="J206" s="11" t="n">
        <f aca="true">IF(G206="",TODAY()-DATEVALUE(D206),DATEVALUE(G206)-DATEVALUE(D206))</f>
        <v>-52</v>
      </c>
      <c r="K206" s="11" t="str">
        <f aca="false">IF(J206&lt;=0,"Current",IF(J206&lt;=30,"1-30 days",IF(J206&lt;=60,"31-60 days",IF(J206&lt;=90,"61-90 days","90+ days"))))</f>
        <v>Current</v>
      </c>
    </row>
    <row r="207" customFormat="false" ht="15" hidden="false" customHeight="false" outlineLevel="0" collapsed="false">
      <c r="A207" s="10" t="s">
        <v>584</v>
      </c>
      <c r="B207" s="10" t="s">
        <v>585</v>
      </c>
      <c r="C207" s="10" t="s">
        <v>204</v>
      </c>
      <c r="D207" s="10" t="s">
        <v>506</v>
      </c>
      <c r="E207" s="10" t="n">
        <v>30</v>
      </c>
      <c r="F207" s="10" t="n">
        <v>3296.7</v>
      </c>
      <c r="G207" s="10"/>
      <c r="H207" s="11" t="str">
        <f aca="false">IF(G207="","Open","Paid")</f>
        <v>Open</v>
      </c>
      <c r="I207" s="11" t="str">
        <f aca="false">IF(G207="","",DATEVALUE(G207)-DATEVALUE(C207))</f>
        <v/>
      </c>
      <c r="J207" s="11" t="n">
        <f aca="true">IF(G207="",TODAY()-DATEVALUE(D207),DATEVALUE(G207)-DATEVALUE(D207))</f>
        <v>56</v>
      </c>
      <c r="K207" s="11" t="str">
        <f aca="false">IF(J207&lt;=0,"Current",IF(J207&lt;=30,"1-30 days",IF(J207&lt;=60,"31-60 days",IF(J207&lt;=90,"61-90 days","90+ days"))))</f>
        <v>31-60 days</v>
      </c>
    </row>
    <row r="208" customFormat="false" ht="15" hidden="false" customHeight="false" outlineLevel="0" collapsed="false">
      <c r="A208" s="10" t="s">
        <v>586</v>
      </c>
      <c r="B208" s="10" t="s">
        <v>139</v>
      </c>
      <c r="C208" s="10" t="s">
        <v>181</v>
      </c>
      <c r="D208" s="10" t="s">
        <v>234</v>
      </c>
      <c r="E208" s="10" t="n">
        <v>45</v>
      </c>
      <c r="F208" s="10" t="n">
        <v>6664</v>
      </c>
      <c r="G208" s="10"/>
      <c r="H208" s="11" t="str">
        <f aca="false">IF(G208="","Open","Paid")</f>
        <v>Open</v>
      </c>
      <c r="I208" s="11" t="str">
        <f aca="false">IF(G208="","",DATEVALUE(G208)-DATEVALUE(C208))</f>
        <v/>
      </c>
      <c r="J208" s="11" t="n">
        <f aca="true">IF(G208="",TODAY()-DATEVALUE(D208),DATEVALUE(G208)-DATEVALUE(D208))</f>
        <v>5</v>
      </c>
      <c r="K208" s="11" t="str">
        <f aca="false">IF(J208&lt;=0,"Current",IF(J208&lt;=30,"1-30 days",IF(J208&lt;=60,"31-60 days",IF(J208&lt;=90,"61-90 days","90+ days"))))</f>
        <v>1-30 days</v>
      </c>
    </row>
    <row r="209" customFormat="false" ht="15" hidden="false" customHeight="false" outlineLevel="0" collapsed="false">
      <c r="A209" s="10" t="s">
        <v>587</v>
      </c>
      <c r="B209" s="10" t="s">
        <v>106</v>
      </c>
      <c r="C209" s="10" t="s">
        <v>412</v>
      </c>
      <c r="D209" s="10" t="s">
        <v>588</v>
      </c>
      <c r="E209" s="10" t="n">
        <v>30</v>
      </c>
      <c r="F209" s="10" t="n">
        <v>2198.33</v>
      </c>
      <c r="G209" s="10" t="s">
        <v>318</v>
      </c>
      <c r="H209" s="11" t="str">
        <f aca="false">IF(G209="","Open","Paid")</f>
        <v>Paid</v>
      </c>
      <c r="I209" s="11" t="n">
        <f aca="false">IF(G209="","",DATEVALUE(G209)-DATEVALUE(C209))</f>
        <v>80</v>
      </c>
      <c r="J209" s="11" t="n">
        <f aca="true">IF(G209="",TODAY()-DATEVALUE(D209),DATEVALUE(G209)-DATEVALUE(D209))</f>
        <v>50</v>
      </c>
      <c r="K209" s="11" t="str">
        <f aca="false">IF(J209&lt;=0,"Current",IF(J209&lt;=30,"1-30 days",IF(J209&lt;=60,"31-60 days",IF(J209&lt;=90,"61-90 days","90+ days"))))</f>
        <v>31-60 days</v>
      </c>
    </row>
    <row r="210" customFormat="false" ht="15" hidden="false" customHeight="false" outlineLevel="0" collapsed="false">
      <c r="A210" s="10" t="s">
        <v>589</v>
      </c>
      <c r="B210" s="10" t="s">
        <v>351</v>
      </c>
      <c r="C210" s="10" t="s">
        <v>218</v>
      </c>
      <c r="D210" s="10" t="s">
        <v>489</v>
      </c>
      <c r="E210" s="10" t="n">
        <v>30</v>
      </c>
      <c r="F210" s="10" t="n">
        <v>5058.79</v>
      </c>
      <c r="G210" s="10" t="s">
        <v>227</v>
      </c>
      <c r="H210" s="11" t="str">
        <f aca="false">IF(G210="","Open","Paid")</f>
        <v>Paid</v>
      </c>
      <c r="I210" s="11" t="n">
        <f aca="false">IF(G210="","",DATEVALUE(G210)-DATEVALUE(C210))</f>
        <v>22</v>
      </c>
      <c r="J210" s="11" t="n">
        <f aca="true">IF(G210="",TODAY()-DATEVALUE(D210),DATEVALUE(G210)-DATEVALUE(D210))</f>
        <v>-8</v>
      </c>
      <c r="K210" s="11" t="str">
        <f aca="false">IF(J210&lt;=0,"Current",IF(J210&lt;=30,"1-30 days",IF(J210&lt;=60,"31-60 days",IF(J210&lt;=90,"61-90 days","90+ days"))))</f>
        <v>Current</v>
      </c>
    </row>
    <row r="211" customFormat="false" ht="15" hidden="false" customHeight="false" outlineLevel="0" collapsed="false">
      <c r="A211" s="10" t="s">
        <v>590</v>
      </c>
      <c r="B211" s="10" t="s">
        <v>217</v>
      </c>
      <c r="C211" s="10" t="s">
        <v>112</v>
      </c>
      <c r="D211" s="10" t="s">
        <v>591</v>
      </c>
      <c r="E211" s="10" t="n">
        <v>45</v>
      </c>
      <c r="F211" s="10" t="n">
        <v>2827</v>
      </c>
      <c r="G211" s="10" t="s">
        <v>592</v>
      </c>
      <c r="H211" s="11" t="str">
        <f aca="false">IF(G211="","Open","Paid")</f>
        <v>Paid</v>
      </c>
      <c r="I211" s="11" t="n">
        <f aca="false">IF(G211="","",DATEVALUE(G211)-DATEVALUE(C211))</f>
        <v>51</v>
      </c>
      <c r="J211" s="11" t="n">
        <f aca="true">IF(G211="",TODAY()-DATEVALUE(D211),DATEVALUE(G211)-DATEVALUE(D211))</f>
        <v>6</v>
      </c>
      <c r="K211" s="11" t="str">
        <f aca="false">IF(J211&lt;=0,"Current",IF(J211&lt;=30,"1-30 days",IF(J211&lt;=60,"31-60 days",IF(J211&lt;=90,"61-90 days","90+ days"))))</f>
        <v>1-30 days</v>
      </c>
    </row>
    <row r="212" customFormat="false" ht="15" hidden="false" customHeight="false" outlineLevel="0" collapsed="false">
      <c r="A212" s="10" t="s">
        <v>593</v>
      </c>
      <c r="B212" s="10" t="s">
        <v>568</v>
      </c>
      <c r="C212" s="10" t="s">
        <v>594</v>
      </c>
      <c r="D212" s="10" t="s">
        <v>425</v>
      </c>
      <c r="E212" s="10" t="n">
        <v>60</v>
      </c>
      <c r="F212" s="10" t="n">
        <v>6679.92</v>
      </c>
      <c r="G212" s="10" t="s">
        <v>266</v>
      </c>
      <c r="H212" s="11" t="str">
        <f aca="false">IF(G212="","Open","Paid")</f>
        <v>Paid</v>
      </c>
      <c r="I212" s="11" t="n">
        <f aca="false">IF(G212="","",DATEVALUE(G212)-DATEVALUE(C212))</f>
        <v>47</v>
      </c>
      <c r="J212" s="11" t="n">
        <f aca="true">IF(G212="",TODAY()-DATEVALUE(D212),DATEVALUE(G212)-DATEVALUE(D212))</f>
        <v>-13</v>
      </c>
      <c r="K212" s="11" t="str">
        <f aca="false">IF(J212&lt;=0,"Current",IF(J212&lt;=30,"1-30 days",IF(J212&lt;=60,"31-60 days",IF(J212&lt;=90,"61-90 days","90+ days"))))</f>
        <v>Current</v>
      </c>
    </row>
    <row r="213" customFormat="false" ht="15" hidden="false" customHeight="false" outlineLevel="0" collapsed="false">
      <c r="A213" s="10" t="s">
        <v>595</v>
      </c>
      <c r="B213" s="10" t="s">
        <v>452</v>
      </c>
      <c r="C213" s="10" t="s">
        <v>223</v>
      </c>
      <c r="D213" s="10" t="s">
        <v>318</v>
      </c>
      <c r="E213" s="10" t="n">
        <v>45</v>
      </c>
      <c r="F213" s="10" t="n">
        <v>10959.16</v>
      </c>
      <c r="G213" s="10" t="s">
        <v>323</v>
      </c>
      <c r="H213" s="11" t="str">
        <f aca="false">IF(G213="","Open","Paid")</f>
        <v>Paid</v>
      </c>
      <c r="I213" s="11" t="n">
        <f aca="false">IF(G213="","",DATEVALUE(G213)-DATEVALUE(C213))</f>
        <v>23</v>
      </c>
      <c r="J213" s="11" t="n">
        <f aca="true">IF(G213="",TODAY()-DATEVALUE(D213),DATEVALUE(G213)-DATEVALUE(D213))</f>
        <v>-22</v>
      </c>
      <c r="K213" s="11" t="str">
        <f aca="false">IF(J213&lt;=0,"Current",IF(J213&lt;=30,"1-30 days",IF(J213&lt;=60,"31-60 days",IF(J213&lt;=90,"61-90 days","90+ days"))))</f>
        <v>Current</v>
      </c>
    </row>
    <row r="214" customFormat="false" ht="15" hidden="false" customHeight="false" outlineLevel="0" collapsed="false">
      <c r="A214" s="10" t="s">
        <v>596</v>
      </c>
      <c r="B214" s="10" t="s">
        <v>270</v>
      </c>
      <c r="C214" s="10" t="s">
        <v>219</v>
      </c>
      <c r="D214" s="10" t="s">
        <v>230</v>
      </c>
      <c r="E214" s="10" t="n">
        <v>30</v>
      </c>
      <c r="F214" s="10" t="n">
        <v>2417.38</v>
      </c>
      <c r="G214" s="10" t="s">
        <v>43</v>
      </c>
      <c r="H214" s="11" t="str">
        <f aca="false">IF(G214="","Open","Paid")</f>
        <v>Paid</v>
      </c>
      <c r="I214" s="11" t="n">
        <f aca="false">IF(G214="","",DATEVALUE(G214)-DATEVALUE(C214))</f>
        <v>38</v>
      </c>
      <c r="J214" s="11" t="n">
        <f aca="true">IF(G214="",TODAY()-DATEVALUE(D214),DATEVALUE(G214)-DATEVALUE(D214))</f>
        <v>8</v>
      </c>
      <c r="K214" s="11" t="str">
        <f aca="false">IF(J214&lt;=0,"Current",IF(J214&lt;=30,"1-30 days",IF(J214&lt;=60,"31-60 days",IF(J214&lt;=90,"61-90 days","90+ days"))))</f>
        <v>1-30 days</v>
      </c>
    </row>
    <row r="215" customFormat="false" ht="15" hidden="false" customHeight="false" outlineLevel="0" collapsed="false">
      <c r="A215" s="10" t="s">
        <v>597</v>
      </c>
      <c r="B215" s="10" t="s">
        <v>97</v>
      </c>
      <c r="C215" s="10" t="s">
        <v>75</v>
      </c>
      <c r="D215" s="10" t="s">
        <v>339</v>
      </c>
      <c r="E215" s="10" t="n">
        <v>30</v>
      </c>
      <c r="F215" s="10" t="n">
        <v>3402.3</v>
      </c>
      <c r="G215" s="10" t="s">
        <v>268</v>
      </c>
      <c r="H215" s="11" t="str">
        <f aca="false">IF(G215="","Open","Paid")</f>
        <v>Paid</v>
      </c>
      <c r="I215" s="11" t="n">
        <f aca="false">IF(G215="","",DATEVALUE(G215)-DATEVALUE(C215))</f>
        <v>105</v>
      </c>
      <c r="J215" s="11" t="n">
        <f aca="true">IF(G215="",TODAY()-DATEVALUE(D215),DATEVALUE(G215)-DATEVALUE(D215))</f>
        <v>75</v>
      </c>
      <c r="K215" s="11" t="str">
        <f aca="false">IF(J215&lt;=0,"Current",IF(J215&lt;=30,"1-30 days",IF(J215&lt;=60,"31-60 days",IF(J215&lt;=90,"61-90 days","90+ days"))))</f>
        <v>61-90 days</v>
      </c>
    </row>
    <row r="216" customFormat="false" ht="15" hidden="false" customHeight="false" outlineLevel="0" collapsed="false">
      <c r="A216" s="10" t="s">
        <v>598</v>
      </c>
      <c r="B216" s="10" t="s">
        <v>265</v>
      </c>
      <c r="C216" s="10" t="s">
        <v>209</v>
      </c>
      <c r="D216" s="10" t="s">
        <v>116</v>
      </c>
      <c r="E216" s="10" t="n">
        <v>30</v>
      </c>
      <c r="F216" s="10" t="n">
        <v>5002.63</v>
      </c>
      <c r="G216" s="10" t="s">
        <v>261</v>
      </c>
      <c r="H216" s="11" t="str">
        <f aca="false">IF(G216="","Open","Paid")</f>
        <v>Paid</v>
      </c>
      <c r="I216" s="11" t="n">
        <f aca="false">IF(G216="","",DATEVALUE(G216)-DATEVALUE(C216))</f>
        <v>47</v>
      </c>
      <c r="J216" s="11" t="n">
        <f aca="true">IF(G216="",TODAY()-DATEVALUE(D216),DATEVALUE(G216)-DATEVALUE(D216))</f>
        <v>17</v>
      </c>
      <c r="K216" s="11" t="str">
        <f aca="false">IF(J216&lt;=0,"Current",IF(J216&lt;=30,"1-30 days",IF(J216&lt;=60,"31-60 days",IF(J216&lt;=90,"61-90 days","90+ days"))))</f>
        <v>1-30 days</v>
      </c>
    </row>
    <row r="217" customFormat="false" ht="15" hidden="false" customHeight="false" outlineLevel="0" collapsed="false">
      <c r="A217" s="10" t="s">
        <v>599</v>
      </c>
      <c r="B217" s="10" t="s">
        <v>151</v>
      </c>
      <c r="C217" s="10" t="s">
        <v>482</v>
      </c>
      <c r="D217" s="10" t="s">
        <v>117</v>
      </c>
      <c r="E217" s="10" t="n">
        <v>30</v>
      </c>
      <c r="F217" s="10" t="n">
        <v>1205.98</v>
      </c>
      <c r="G217" s="10" t="s">
        <v>458</v>
      </c>
      <c r="H217" s="11" t="str">
        <f aca="false">IF(G217="","Open","Paid")</f>
        <v>Paid</v>
      </c>
      <c r="I217" s="11" t="n">
        <f aca="false">IF(G217="","",DATEVALUE(G217)-DATEVALUE(C217))</f>
        <v>10</v>
      </c>
      <c r="J217" s="11" t="n">
        <f aca="true">IF(G217="",TODAY()-DATEVALUE(D217),DATEVALUE(G217)-DATEVALUE(D217))</f>
        <v>-20</v>
      </c>
      <c r="K217" s="11" t="str">
        <f aca="false">IF(J217&lt;=0,"Current",IF(J217&lt;=30,"1-30 days",IF(J217&lt;=60,"31-60 days",IF(J217&lt;=90,"61-90 days","90+ days"))))</f>
        <v>Current</v>
      </c>
    </row>
    <row r="218" customFormat="false" ht="15" hidden="false" customHeight="false" outlineLevel="0" collapsed="false">
      <c r="A218" s="10" t="s">
        <v>600</v>
      </c>
      <c r="B218" s="10" t="s">
        <v>123</v>
      </c>
      <c r="C218" s="10" t="s">
        <v>181</v>
      </c>
      <c r="D218" s="10" t="s">
        <v>234</v>
      </c>
      <c r="E218" s="10" t="n">
        <v>45</v>
      </c>
      <c r="F218" s="10" t="n">
        <v>1520.57</v>
      </c>
      <c r="G218" s="10"/>
      <c r="H218" s="11" t="str">
        <f aca="false">IF(G218="","Open","Paid")</f>
        <v>Open</v>
      </c>
      <c r="I218" s="11" t="str">
        <f aca="false">IF(G218="","",DATEVALUE(G218)-DATEVALUE(C218))</f>
        <v/>
      </c>
      <c r="J218" s="11" t="n">
        <f aca="true">IF(G218="",TODAY()-DATEVALUE(D218),DATEVALUE(G218)-DATEVALUE(D218))</f>
        <v>5</v>
      </c>
      <c r="K218" s="11" t="str">
        <f aca="false">IF(J218&lt;=0,"Current",IF(J218&lt;=30,"1-30 days",IF(J218&lt;=60,"31-60 days",IF(J218&lt;=90,"61-90 days","90+ days"))))</f>
        <v>1-30 days</v>
      </c>
    </row>
    <row r="219" customFormat="false" ht="15" hidden="false" customHeight="false" outlineLevel="0" collapsed="false">
      <c r="A219" s="10" t="s">
        <v>601</v>
      </c>
      <c r="B219" s="10" t="s">
        <v>260</v>
      </c>
      <c r="C219" s="10" t="s">
        <v>523</v>
      </c>
      <c r="D219" s="10" t="s">
        <v>460</v>
      </c>
      <c r="E219" s="10" t="n">
        <v>45</v>
      </c>
      <c r="F219" s="10" t="n">
        <v>10781.3</v>
      </c>
      <c r="G219" s="10"/>
      <c r="H219" s="11" t="str">
        <f aca="false">IF(G219="","Open","Paid")</f>
        <v>Open</v>
      </c>
      <c r="I219" s="11" t="str">
        <f aca="false">IF(G219="","",DATEVALUE(G219)-DATEVALUE(C219))</f>
        <v/>
      </c>
      <c r="J219" s="11" t="n">
        <f aca="true">IF(G219="",TODAY()-DATEVALUE(D219),DATEVALUE(G219)-DATEVALUE(D219))</f>
        <v>3</v>
      </c>
      <c r="K219" s="11" t="str">
        <f aca="false">IF(J219&lt;=0,"Current",IF(J219&lt;=30,"1-30 days",IF(J219&lt;=60,"31-60 days",IF(J219&lt;=90,"61-90 days","90+ days"))))</f>
        <v>1-30 days</v>
      </c>
    </row>
    <row r="220" customFormat="false" ht="15" hidden="false" customHeight="false" outlineLevel="0" collapsed="false">
      <c r="A220" s="10" t="s">
        <v>602</v>
      </c>
      <c r="B220" s="10" t="s">
        <v>603</v>
      </c>
      <c r="C220" s="10" t="s">
        <v>74</v>
      </c>
      <c r="D220" s="10" t="s">
        <v>75</v>
      </c>
      <c r="E220" s="10" t="n">
        <v>45</v>
      </c>
      <c r="F220" s="10" t="n">
        <v>5743.45</v>
      </c>
      <c r="G220" s="10" t="s">
        <v>271</v>
      </c>
      <c r="H220" s="11" t="str">
        <f aca="false">IF(G220="","Open","Paid")</f>
        <v>Paid</v>
      </c>
      <c r="I220" s="11" t="n">
        <f aca="false">IF(G220="","",DATEVALUE(G220)-DATEVALUE(C220))</f>
        <v>59</v>
      </c>
      <c r="J220" s="11" t="n">
        <f aca="true">IF(G220="",TODAY()-DATEVALUE(D220),DATEVALUE(G220)-DATEVALUE(D220))</f>
        <v>14</v>
      </c>
      <c r="K220" s="11" t="str">
        <f aca="false">IF(J220&lt;=0,"Current",IF(J220&lt;=30,"1-30 days",IF(J220&lt;=60,"31-60 days",IF(J220&lt;=90,"61-90 days","90+ days"))))</f>
        <v>1-30 days</v>
      </c>
    </row>
    <row r="221" customFormat="false" ht="15" hidden="false" customHeight="false" outlineLevel="0" collapsed="false">
      <c r="A221" s="10" t="s">
        <v>604</v>
      </c>
      <c r="B221" s="10" t="s">
        <v>55</v>
      </c>
      <c r="C221" s="10" t="s">
        <v>422</v>
      </c>
      <c r="D221" s="10" t="s">
        <v>120</v>
      </c>
      <c r="E221" s="10" t="n">
        <v>45</v>
      </c>
      <c r="F221" s="10" t="n">
        <v>3179.5</v>
      </c>
      <c r="G221" s="10" t="s">
        <v>404</v>
      </c>
      <c r="H221" s="11" t="str">
        <f aca="false">IF(G221="","Open","Paid")</f>
        <v>Paid</v>
      </c>
      <c r="I221" s="11" t="n">
        <f aca="false">IF(G221="","",DATEVALUE(G221)-DATEVALUE(C221))</f>
        <v>46</v>
      </c>
      <c r="J221" s="11" t="n">
        <f aca="true">IF(G221="",TODAY()-DATEVALUE(D221),DATEVALUE(G221)-DATEVALUE(D221))</f>
        <v>1</v>
      </c>
      <c r="K221" s="11" t="str">
        <f aca="false">IF(J221&lt;=0,"Current",IF(J221&lt;=30,"1-30 days",IF(J221&lt;=60,"31-60 days",IF(J221&lt;=90,"61-90 days","90+ days"))))</f>
        <v>1-30 days</v>
      </c>
    </row>
    <row r="222" customFormat="false" ht="15" hidden="false" customHeight="false" outlineLevel="0" collapsed="false">
      <c r="A222" s="10" t="s">
        <v>605</v>
      </c>
      <c r="B222" s="10" t="s">
        <v>303</v>
      </c>
      <c r="C222" s="10" t="s">
        <v>141</v>
      </c>
      <c r="D222" s="10" t="s">
        <v>407</v>
      </c>
      <c r="E222" s="10" t="n">
        <v>45</v>
      </c>
      <c r="F222" s="10" t="n">
        <v>4687.61</v>
      </c>
      <c r="G222" s="10" t="s">
        <v>606</v>
      </c>
      <c r="H222" s="11" t="str">
        <f aca="false">IF(G222="","Open","Paid")</f>
        <v>Paid</v>
      </c>
      <c r="I222" s="11" t="n">
        <f aca="false">IF(G222="","",DATEVALUE(G222)-DATEVALUE(C222))</f>
        <v>20</v>
      </c>
      <c r="J222" s="11" t="n">
        <f aca="true">IF(G222="",TODAY()-DATEVALUE(D222),DATEVALUE(G222)-DATEVALUE(D222))</f>
        <v>-25</v>
      </c>
      <c r="K222" s="11" t="str">
        <f aca="false">IF(J222&lt;=0,"Current",IF(J222&lt;=30,"1-30 days",IF(J222&lt;=60,"31-60 days",IF(J222&lt;=90,"61-90 days","90+ days"))))</f>
        <v>Current</v>
      </c>
    </row>
    <row r="223" customFormat="false" ht="15" hidden="false" customHeight="false" outlineLevel="0" collapsed="false">
      <c r="A223" s="10" t="s">
        <v>607</v>
      </c>
      <c r="B223" s="10" t="s">
        <v>233</v>
      </c>
      <c r="C223" s="10" t="s">
        <v>462</v>
      </c>
      <c r="D223" s="10" t="s">
        <v>356</v>
      </c>
      <c r="E223" s="10" t="n">
        <v>45</v>
      </c>
      <c r="F223" s="10" t="n">
        <v>3517.48</v>
      </c>
      <c r="G223" s="10" t="s">
        <v>30</v>
      </c>
      <c r="H223" s="11" t="str">
        <f aca="false">IF(G223="","Open","Paid")</f>
        <v>Paid</v>
      </c>
      <c r="I223" s="11" t="n">
        <f aca="false">IF(G223="","",DATEVALUE(G223)-DATEVALUE(C223))</f>
        <v>48</v>
      </c>
      <c r="J223" s="11" t="n">
        <f aca="true">IF(G223="",TODAY()-DATEVALUE(D223),DATEVALUE(G223)-DATEVALUE(D223))</f>
        <v>3</v>
      </c>
      <c r="K223" s="11" t="str">
        <f aca="false">IF(J223&lt;=0,"Current",IF(J223&lt;=30,"1-30 days",IF(J223&lt;=60,"31-60 days",IF(J223&lt;=90,"61-90 days","90+ days"))))</f>
        <v>1-30 days</v>
      </c>
    </row>
    <row r="224" customFormat="false" ht="15" hidden="false" customHeight="false" outlineLevel="0" collapsed="false">
      <c r="A224" s="10" t="s">
        <v>608</v>
      </c>
      <c r="B224" s="10" t="s">
        <v>452</v>
      </c>
      <c r="C224" s="10" t="s">
        <v>57</v>
      </c>
      <c r="D224" s="10" t="s">
        <v>223</v>
      </c>
      <c r="E224" s="10" t="n">
        <v>30</v>
      </c>
      <c r="F224" s="10" t="n">
        <v>5092.07</v>
      </c>
      <c r="G224" s="10" t="s">
        <v>378</v>
      </c>
      <c r="H224" s="11" t="str">
        <f aca="false">IF(G224="","Open","Paid")</f>
        <v>Paid</v>
      </c>
      <c r="I224" s="11" t="n">
        <f aca="false">IF(G224="","",DATEVALUE(G224)-DATEVALUE(C224))</f>
        <v>17</v>
      </c>
      <c r="J224" s="11" t="n">
        <f aca="true">IF(G224="",TODAY()-DATEVALUE(D224),DATEVALUE(G224)-DATEVALUE(D224))</f>
        <v>-13</v>
      </c>
      <c r="K224" s="11" t="str">
        <f aca="false">IF(J224&lt;=0,"Current",IF(J224&lt;=30,"1-30 days",IF(J224&lt;=60,"31-60 days",IF(J224&lt;=90,"61-90 days","90+ days"))))</f>
        <v>Current</v>
      </c>
    </row>
    <row r="225" customFormat="false" ht="15" hidden="false" customHeight="false" outlineLevel="0" collapsed="false">
      <c r="A225" s="10" t="s">
        <v>609</v>
      </c>
      <c r="B225" s="10" t="s">
        <v>38</v>
      </c>
      <c r="C225" s="10" t="s">
        <v>610</v>
      </c>
      <c r="D225" s="10" t="s">
        <v>611</v>
      </c>
      <c r="E225" s="10" t="n">
        <v>30</v>
      </c>
      <c r="F225" s="10" t="n">
        <v>3601.95</v>
      </c>
      <c r="G225" s="10" t="s">
        <v>126</v>
      </c>
      <c r="H225" s="11" t="str">
        <f aca="false">IF(G225="","Open","Paid")</f>
        <v>Paid</v>
      </c>
      <c r="I225" s="11" t="n">
        <f aca="false">IF(G225="","",DATEVALUE(G225)-DATEVALUE(C225))</f>
        <v>32</v>
      </c>
      <c r="J225" s="11" t="n">
        <f aca="true">IF(G225="",TODAY()-DATEVALUE(D225),DATEVALUE(G225)-DATEVALUE(D225))</f>
        <v>2</v>
      </c>
      <c r="K225" s="11" t="str">
        <f aca="false">IF(J225&lt;=0,"Current",IF(J225&lt;=30,"1-30 days",IF(J225&lt;=60,"31-60 days",IF(J225&lt;=90,"61-90 days","90+ days"))))</f>
        <v>1-30 days</v>
      </c>
    </row>
    <row r="226" customFormat="false" ht="15" hidden="false" customHeight="false" outlineLevel="0" collapsed="false">
      <c r="A226" s="10" t="s">
        <v>612</v>
      </c>
      <c r="B226" s="10" t="s">
        <v>23</v>
      </c>
      <c r="C226" s="10" t="s">
        <v>168</v>
      </c>
      <c r="D226" s="10" t="s">
        <v>532</v>
      </c>
      <c r="E226" s="10" t="n">
        <v>45</v>
      </c>
      <c r="F226" s="10" t="n">
        <v>4468.45</v>
      </c>
      <c r="G226" s="10" t="s">
        <v>289</v>
      </c>
      <c r="H226" s="11" t="str">
        <f aca="false">IF(G226="","Open","Paid")</f>
        <v>Paid</v>
      </c>
      <c r="I226" s="11" t="n">
        <f aca="false">IF(G226="","",DATEVALUE(G226)-DATEVALUE(C226))</f>
        <v>26</v>
      </c>
      <c r="J226" s="11" t="n">
        <f aca="true">IF(G226="",TODAY()-DATEVALUE(D226),DATEVALUE(G226)-DATEVALUE(D226))</f>
        <v>-19</v>
      </c>
      <c r="K226" s="11" t="str">
        <f aca="false">IF(J226&lt;=0,"Current",IF(J226&lt;=30,"1-30 days",IF(J226&lt;=60,"31-60 days",IF(J226&lt;=90,"61-90 days","90+ days"))))</f>
        <v>Current</v>
      </c>
    </row>
    <row r="227" customFormat="false" ht="15" hidden="false" customHeight="false" outlineLevel="0" collapsed="false">
      <c r="A227" s="10" t="s">
        <v>613</v>
      </c>
      <c r="B227" s="10" t="s">
        <v>114</v>
      </c>
      <c r="C227" s="10" t="s">
        <v>442</v>
      </c>
      <c r="D227" s="10" t="s">
        <v>466</v>
      </c>
      <c r="E227" s="10" t="n">
        <v>45</v>
      </c>
      <c r="F227" s="10" t="n">
        <v>7020.97</v>
      </c>
      <c r="G227" s="10" t="s">
        <v>320</v>
      </c>
      <c r="H227" s="11" t="str">
        <f aca="false">IF(G227="","Open","Paid")</f>
        <v>Paid</v>
      </c>
      <c r="I227" s="11" t="n">
        <f aca="false">IF(G227="","",DATEVALUE(G227)-DATEVALUE(C227))</f>
        <v>51</v>
      </c>
      <c r="J227" s="11" t="n">
        <f aca="true">IF(G227="",TODAY()-DATEVALUE(D227),DATEVALUE(G227)-DATEVALUE(D227))</f>
        <v>6</v>
      </c>
      <c r="K227" s="11" t="str">
        <f aca="false">IF(J227&lt;=0,"Current",IF(J227&lt;=30,"1-30 days",IF(J227&lt;=60,"31-60 days",IF(J227&lt;=90,"61-90 days","90+ days"))))</f>
        <v>1-30 days</v>
      </c>
    </row>
    <row r="228" customFormat="false" ht="15" hidden="false" customHeight="false" outlineLevel="0" collapsed="false">
      <c r="A228" s="10" t="s">
        <v>614</v>
      </c>
      <c r="B228" s="10" t="s">
        <v>276</v>
      </c>
      <c r="C228" s="10" t="s">
        <v>502</v>
      </c>
      <c r="D228" s="10" t="s">
        <v>615</v>
      </c>
      <c r="E228" s="10" t="n">
        <v>30</v>
      </c>
      <c r="F228" s="10" t="n">
        <v>6764.61</v>
      </c>
      <c r="G228" s="10"/>
      <c r="H228" s="11" t="str">
        <f aca="false">IF(G228="","Open","Paid")</f>
        <v>Open</v>
      </c>
      <c r="I228" s="11" t="str">
        <f aca="false">IF(G228="","",DATEVALUE(G228)-DATEVALUE(C228))</f>
        <v/>
      </c>
      <c r="J228" s="11" t="n">
        <f aca="true">IF(G228="",TODAY()-DATEVALUE(D228),DATEVALUE(G228)-DATEVALUE(D228))</f>
        <v>-18</v>
      </c>
      <c r="K228" s="11" t="str">
        <f aca="false">IF(J228&lt;=0,"Current",IF(J228&lt;=30,"1-30 days",IF(J228&lt;=60,"31-60 days",IF(J228&lt;=90,"61-90 days","90+ days"))))</f>
        <v>Current</v>
      </c>
    </row>
    <row r="229" customFormat="false" ht="15" hidden="false" customHeight="false" outlineLevel="0" collapsed="false">
      <c r="A229" s="10" t="s">
        <v>616</v>
      </c>
      <c r="B229" s="10" t="s">
        <v>180</v>
      </c>
      <c r="C229" s="10" t="s">
        <v>316</v>
      </c>
      <c r="D229" s="10" t="s">
        <v>317</v>
      </c>
      <c r="E229" s="10" t="n">
        <v>30</v>
      </c>
      <c r="F229" s="10" t="n">
        <v>10444.84</v>
      </c>
      <c r="G229" s="10" t="s">
        <v>348</v>
      </c>
      <c r="H229" s="11" t="str">
        <f aca="false">IF(G229="","Open","Paid")</f>
        <v>Paid</v>
      </c>
      <c r="I229" s="11" t="n">
        <f aca="false">IF(G229="","",DATEVALUE(G229)-DATEVALUE(C229))</f>
        <v>20</v>
      </c>
      <c r="J229" s="11" t="n">
        <f aca="true">IF(G229="",TODAY()-DATEVALUE(D229),DATEVALUE(G229)-DATEVALUE(D229))</f>
        <v>-10</v>
      </c>
      <c r="K229" s="11" t="str">
        <f aca="false">IF(J229&lt;=0,"Current",IF(J229&lt;=30,"1-30 days",IF(J229&lt;=60,"31-60 days",IF(J229&lt;=90,"61-90 days","90+ days"))))</f>
        <v>Current</v>
      </c>
    </row>
    <row r="230" customFormat="false" ht="15" hidden="false" customHeight="false" outlineLevel="0" collapsed="false">
      <c r="A230" s="10" t="s">
        <v>617</v>
      </c>
      <c r="B230" s="10" t="s">
        <v>185</v>
      </c>
      <c r="C230" s="10" t="s">
        <v>116</v>
      </c>
      <c r="D230" s="10" t="s">
        <v>446</v>
      </c>
      <c r="E230" s="10" t="n">
        <v>45</v>
      </c>
      <c r="F230" s="10" t="n">
        <v>5982.17</v>
      </c>
      <c r="G230" s="10" t="s">
        <v>361</v>
      </c>
      <c r="H230" s="11" t="str">
        <f aca="false">IF(G230="","Open","Paid")</f>
        <v>Paid</v>
      </c>
      <c r="I230" s="11" t="n">
        <f aca="false">IF(G230="","",DATEVALUE(G230)-DATEVALUE(C230))</f>
        <v>31</v>
      </c>
      <c r="J230" s="11" t="n">
        <f aca="true">IF(G230="",TODAY()-DATEVALUE(D230),DATEVALUE(G230)-DATEVALUE(D230))</f>
        <v>-14</v>
      </c>
      <c r="K230" s="11" t="str">
        <f aca="false">IF(J230&lt;=0,"Current",IF(J230&lt;=30,"1-30 days",IF(J230&lt;=60,"31-60 days",IF(J230&lt;=90,"61-90 days","90+ days"))))</f>
        <v>Current</v>
      </c>
    </row>
    <row r="231" customFormat="false" ht="15" hidden="false" customHeight="false" outlineLevel="0" collapsed="false">
      <c r="A231" s="10" t="s">
        <v>618</v>
      </c>
      <c r="B231" s="10" t="s">
        <v>82</v>
      </c>
      <c r="C231" s="10" t="s">
        <v>177</v>
      </c>
      <c r="D231" s="10" t="s">
        <v>333</v>
      </c>
      <c r="E231" s="10" t="n">
        <v>30</v>
      </c>
      <c r="F231" s="10" t="n">
        <v>4868.98</v>
      </c>
      <c r="G231" s="10"/>
      <c r="H231" s="11" t="str">
        <f aca="false">IF(G231="","Open","Paid")</f>
        <v>Open</v>
      </c>
      <c r="I231" s="11" t="str">
        <f aca="false">IF(G231="","",DATEVALUE(G231)-DATEVALUE(C231))</f>
        <v/>
      </c>
      <c r="J231" s="11" t="n">
        <f aca="true">IF(G231="",TODAY()-DATEVALUE(D231),DATEVALUE(G231)-DATEVALUE(D231))</f>
        <v>11</v>
      </c>
      <c r="K231" s="11" t="str">
        <f aca="false">IF(J231&lt;=0,"Current",IF(J231&lt;=30,"1-30 days",IF(J231&lt;=60,"31-60 days",IF(J231&lt;=90,"61-90 days","90+ days"))))</f>
        <v>1-30 days</v>
      </c>
    </row>
    <row r="232" customFormat="false" ht="15" hidden="false" customHeight="false" outlineLevel="0" collapsed="false">
      <c r="A232" s="10" t="s">
        <v>619</v>
      </c>
      <c r="B232" s="10" t="s">
        <v>303</v>
      </c>
      <c r="C232" s="10" t="s">
        <v>488</v>
      </c>
      <c r="D232" s="10" t="s">
        <v>304</v>
      </c>
      <c r="E232" s="10" t="n">
        <v>30</v>
      </c>
      <c r="F232" s="10" t="n">
        <v>11310.38</v>
      </c>
      <c r="G232" s="10" t="s">
        <v>137</v>
      </c>
      <c r="H232" s="11" t="str">
        <f aca="false">IF(G232="","Open","Paid")</f>
        <v>Paid</v>
      </c>
      <c r="I232" s="11" t="n">
        <f aca="false">IF(G232="","",DATEVALUE(G232)-DATEVALUE(C232))</f>
        <v>26</v>
      </c>
      <c r="J232" s="11" t="n">
        <f aca="true">IF(G232="",TODAY()-DATEVALUE(D232),DATEVALUE(G232)-DATEVALUE(D232))</f>
        <v>-4</v>
      </c>
      <c r="K232" s="11" t="str">
        <f aca="false">IF(J232&lt;=0,"Current",IF(J232&lt;=30,"1-30 days",IF(J232&lt;=60,"31-60 days",IF(J232&lt;=90,"61-90 days","90+ days"))))</f>
        <v>Current</v>
      </c>
    </row>
    <row r="233" customFormat="false" ht="15" hidden="false" customHeight="false" outlineLevel="0" collapsed="false">
      <c r="A233" s="10" t="s">
        <v>620</v>
      </c>
      <c r="B233" s="10" t="s">
        <v>55</v>
      </c>
      <c r="C233" s="10" t="s">
        <v>349</v>
      </c>
      <c r="D233" s="10" t="s">
        <v>400</v>
      </c>
      <c r="E233" s="10" t="n">
        <v>45</v>
      </c>
      <c r="F233" s="10" t="n">
        <v>4187.23</v>
      </c>
      <c r="G233" s="10" t="s">
        <v>547</v>
      </c>
      <c r="H233" s="11" t="str">
        <f aca="false">IF(G233="","Open","Paid")</f>
        <v>Paid</v>
      </c>
      <c r="I233" s="11" t="n">
        <f aca="false">IF(G233="","",DATEVALUE(G233)-DATEVALUE(C233))</f>
        <v>38</v>
      </c>
      <c r="J233" s="11" t="n">
        <f aca="true">IF(G233="",TODAY()-DATEVALUE(D233),DATEVALUE(G233)-DATEVALUE(D233))</f>
        <v>-7</v>
      </c>
      <c r="K233" s="11" t="str">
        <f aca="false">IF(J233&lt;=0,"Current",IF(J233&lt;=30,"1-30 days",IF(J233&lt;=60,"31-60 days",IF(J233&lt;=90,"61-90 days","90+ days"))))</f>
        <v>Current</v>
      </c>
    </row>
    <row r="234" customFormat="false" ht="15" hidden="false" customHeight="false" outlineLevel="0" collapsed="false">
      <c r="A234" s="10" t="s">
        <v>621</v>
      </c>
      <c r="B234" s="10" t="s">
        <v>270</v>
      </c>
      <c r="C234" s="10" t="s">
        <v>622</v>
      </c>
      <c r="D234" s="10" t="s">
        <v>443</v>
      </c>
      <c r="E234" s="10" t="n">
        <v>45</v>
      </c>
      <c r="F234" s="10" t="n">
        <v>829.15</v>
      </c>
      <c r="G234" s="10" t="s">
        <v>128</v>
      </c>
      <c r="H234" s="11" t="str">
        <f aca="false">IF(G234="","Open","Paid")</f>
        <v>Paid</v>
      </c>
      <c r="I234" s="11" t="n">
        <f aca="false">IF(G234="","",DATEVALUE(G234)-DATEVALUE(C234))</f>
        <v>26</v>
      </c>
      <c r="J234" s="11" t="n">
        <f aca="true">IF(G234="",TODAY()-DATEVALUE(D234),DATEVALUE(G234)-DATEVALUE(D234))</f>
        <v>-19</v>
      </c>
      <c r="K234" s="11" t="str">
        <f aca="false">IF(J234&lt;=0,"Current",IF(J234&lt;=30,"1-30 days",IF(J234&lt;=60,"31-60 days",IF(J234&lt;=90,"61-90 days","90+ days"))))</f>
        <v>Current</v>
      </c>
    </row>
    <row r="235" customFormat="false" ht="15" hidden="false" customHeight="false" outlineLevel="0" collapsed="false">
      <c r="A235" s="10" t="s">
        <v>623</v>
      </c>
      <c r="B235" s="10" t="s">
        <v>221</v>
      </c>
      <c r="C235" s="10" t="s">
        <v>588</v>
      </c>
      <c r="D235" s="10" t="s">
        <v>624</v>
      </c>
      <c r="E235" s="10" t="n">
        <v>30</v>
      </c>
      <c r="F235" s="10" t="n">
        <v>7539.87</v>
      </c>
      <c r="G235" s="10" t="s">
        <v>445</v>
      </c>
      <c r="H235" s="11" t="str">
        <f aca="false">IF(G235="","Open","Paid")</f>
        <v>Paid</v>
      </c>
      <c r="I235" s="11" t="n">
        <f aca="false">IF(G235="","",DATEVALUE(G235)-DATEVALUE(C235))</f>
        <v>35</v>
      </c>
      <c r="J235" s="11" t="n">
        <f aca="true">IF(G235="",TODAY()-DATEVALUE(D235),DATEVALUE(G235)-DATEVALUE(D235))</f>
        <v>5</v>
      </c>
      <c r="K235" s="11" t="str">
        <f aca="false">IF(J235&lt;=0,"Current",IF(J235&lt;=30,"1-30 days",IF(J235&lt;=60,"31-60 days",IF(J235&lt;=90,"61-90 days","90+ days"))))</f>
        <v>1-30 days</v>
      </c>
    </row>
    <row r="236" customFormat="false" ht="15" hidden="false" customHeight="false" outlineLevel="0" collapsed="false">
      <c r="A236" s="10" t="s">
        <v>625</v>
      </c>
      <c r="B236" s="10" t="s">
        <v>311</v>
      </c>
      <c r="C236" s="10" t="s">
        <v>626</v>
      </c>
      <c r="D236" s="10" t="s">
        <v>515</v>
      </c>
      <c r="E236" s="10" t="n">
        <v>45</v>
      </c>
      <c r="F236" s="10" t="n">
        <v>5574.43</v>
      </c>
      <c r="G236" s="10" t="s">
        <v>480</v>
      </c>
      <c r="H236" s="11" t="str">
        <f aca="false">IF(G236="","Open","Paid")</f>
        <v>Paid</v>
      </c>
      <c r="I236" s="11" t="n">
        <f aca="false">IF(G236="","",DATEVALUE(G236)-DATEVALUE(C236))</f>
        <v>39</v>
      </c>
      <c r="J236" s="11" t="n">
        <f aca="true">IF(G236="",TODAY()-DATEVALUE(D236),DATEVALUE(G236)-DATEVALUE(D236))</f>
        <v>-6</v>
      </c>
      <c r="K236" s="11" t="str">
        <f aca="false">IF(J236&lt;=0,"Current",IF(J236&lt;=30,"1-30 days",IF(J236&lt;=60,"31-60 days",IF(J236&lt;=90,"61-90 days","90+ days"))))</f>
        <v>Current</v>
      </c>
    </row>
    <row r="237" customFormat="false" ht="15" hidden="false" customHeight="false" outlineLevel="0" collapsed="false">
      <c r="A237" s="10" t="s">
        <v>627</v>
      </c>
      <c r="B237" s="10" t="s">
        <v>33</v>
      </c>
      <c r="C237" s="10" t="s">
        <v>75</v>
      </c>
      <c r="D237" s="10" t="s">
        <v>339</v>
      </c>
      <c r="E237" s="10" t="n">
        <v>30</v>
      </c>
      <c r="F237" s="10" t="n">
        <v>4732.03</v>
      </c>
      <c r="G237" s="10" t="s">
        <v>115</v>
      </c>
      <c r="H237" s="11" t="str">
        <f aca="false">IF(G237="","Open","Paid")</f>
        <v>Paid</v>
      </c>
      <c r="I237" s="11" t="n">
        <f aca="false">IF(G237="","",DATEVALUE(G237)-DATEVALUE(C237))</f>
        <v>17</v>
      </c>
      <c r="J237" s="11" t="n">
        <f aca="true">IF(G237="",TODAY()-DATEVALUE(D237),DATEVALUE(G237)-DATEVALUE(D237))</f>
        <v>-13</v>
      </c>
      <c r="K237" s="11" t="str">
        <f aca="false">IF(J237&lt;=0,"Current",IF(J237&lt;=30,"1-30 days",IF(J237&lt;=60,"31-60 days",IF(J237&lt;=90,"61-90 days","90+ days"))))</f>
        <v>Current</v>
      </c>
    </row>
    <row r="238" customFormat="false" ht="15" hidden="false" customHeight="false" outlineLevel="0" collapsed="false">
      <c r="A238" s="10" t="s">
        <v>628</v>
      </c>
      <c r="B238" s="10" t="s">
        <v>452</v>
      </c>
      <c r="C238" s="10" t="s">
        <v>172</v>
      </c>
      <c r="D238" s="10" t="s">
        <v>249</v>
      </c>
      <c r="E238" s="10" t="n">
        <v>45</v>
      </c>
      <c r="F238" s="10" t="n">
        <v>7653.08</v>
      </c>
      <c r="G238" s="10" t="s">
        <v>356</v>
      </c>
      <c r="H238" s="11" t="str">
        <f aca="false">IF(G238="","Open","Paid")</f>
        <v>Paid</v>
      </c>
      <c r="I238" s="11" t="n">
        <f aca="false">IF(G238="","",DATEVALUE(G238)-DATEVALUE(C238))</f>
        <v>38</v>
      </c>
      <c r="J238" s="11" t="n">
        <f aca="true">IF(G238="",TODAY()-DATEVALUE(D238),DATEVALUE(G238)-DATEVALUE(D238))</f>
        <v>-7</v>
      </c>
      <c r="K238" s="11" t="str">
        <f aca="false">IF(J238&lt;=0,"Current",IF(J238&lt;=30,"1-30 days",IF(J238&lt;=60,"31-60 days",IF(J238&lt;=90,"61-90 days","90+ days"))))</f>
        <v>Current</v>
      </c>
    </row>
    <row r="239" customFormat="false" ht="15" hidden="false" customHeight="false" outlineLevel="0" collapsed="false">
      <c r="A239" s="10" t="s">
        <v>629</v>
      </c>
      <c r="B239" s="10" t="s">
        <v>167</v>
      </c>
      <c r="C239" s="10" t="s">
        <v>320</v>
      </c>
      <c r="D239" s="10" t="s">
        <v>272</v>
      </c>
      <c r="E239" s="10" t="n">
        <v>30</v>
      </c>
      <c r="F239" s="10" t="n">
        <v>3621.66</v>
      </c>
      <c r="G239" s="10" t="s">
        <v>192</v>
      </c>
      <c r="H239" s="11" t="str">
        <f aca="false">IF(G239="","Open","Paid")</f>
        <v>Paid</v>
      </c>
      <c r="I239" s="11" t="n">
        <f aca="false">IF(G239="","",DATEVALUE(G239)-DATEVALUE(C239))</f>
        <v>42</v>
      </c>
      <c r="J239" s="11" t="n">
        <f aca="true">IF(G239="",TODAY()-DATEVALUE(D239),DATEVALUE(G239)-DATEVALUE(D239))</f>
        <v>12</v>
      </c>
      <c r="K239" s="11" t="str">
        <f aca="false">IF(J239&lt;=0,"Current",IF(J239&lt;=30,"1-30 days",IF(J239&lt;=60,"31-60 days",IF(J239&lt;=90,"61-90 days","90+ days"))))</f>
        <v>1-30 days</v>
      </c>
    </row>
    <row r="240" customFormat="false" ht="15" hidden="false" customHeight="false" outlineLevel="0" collapsed="false">
      <c r="A240" s="10" t="s">
        <v>630</v>
      </c>
      <c r="B240" s="10" t="s">
        <v>303</v>
      </c>
      <c r="C240" s="10" t="s">
        <v>393</v>
      </c>
      <c r="D240" s="10" t="s">
        <v>305</v>
      </c>
      <c r="E240" s="10" t="n">
        <v>30</v>
      </c>
      <c r="F240" s="10" t="n">
        <v>867.48</v>
      </c>
      <c r="G240" s="10"/>
      <c r="H240" s="11" t="str">
        <f aca="false">IF(G240="","Open","Paid")</f>
        <v>Open</v>
      </c>
      <c r="I240" s="11" t="str">
        <f aca="false">IF(G240="","",DATEVALUE(G240)-DATEVALUE(C240))</f>
        <v/>
      </c>
      <c r="J240" s="11" t="n">
        <f aca="true">IF(G240="",TODAY()-DATEVALUE(D240),DATEVALUE(G240)-DATEVALUE(D240))</f>
        <v>-21</v>
      </c>
      <c r="K240" s="11" t="str">
        <f aca="false">IF(J240&lt;=0,"Current",IF(J240&lt;=30,"1-30 days",IF(J240&lt;=60,"31-60 days",IF(J240&lt;=90,"61-90 days","90+ days"))))</f>
        <v>Current</v>
      </c>
    </row>
    <row r="241" customFormat="false" ht="15" hidden="false" customHeight="false" outlineLevel="0" collapsed="false">
      <c r="A241" s="10" t="s">
        <v>631</v>
      </c>
      <c r="B241" s="10" t="s">
        <v>92</v>
      </c>
      <c r="C241" s="10" t="s">
        <v>389</v>
      </c>
      <c r="D241" s="10" t="s">
        <v>502</v>
      </c>
      <c r="E241" s="10" t="n">
        <v>30</v>
      </c>
      <c r="F241" s="10" t="n">
        <v>7738.78</v>
      </c>
      <c r="G241" s="10"/>
      <c r="H241" s="11" t="str">
        <f aca="false">IF(G241="","Open","Paid")</f>
        <v>Open</v>
      </c>
      <c r="I241" s="11" t="str">
        <f aca="false">IF(G241="","",DATEVALUE(G241)-DATEVALUE(C241))</f>
        <v/>
      </c>
      <c r="J241" s="11" t="n">
        <f aca="true">IF(G241="",TODAY()-DATEVALUE(D241),DATEVALUE(G241)-DATEVALUE(D241))</f>
        <v>12</v>
      </c>
      <c r="K241" s="11" t="str">
        <f aca="false">IF(J241&lt;=0,"Current",IF(J241&lt;=30,"1-30 days",IF(J241&lt;=60,"31-60 days",IF(J241&lt;=90,"61-90 days","90+ days"))))</f>
        <v>1-30 days</v>
      </c>
    </row>
    <row r="242" customFormat="false" ht="15" hidden="false" customHeight="false" outlineLevel="0" collapsed="false">
      <c r="A242" s="10" t="s">
        <v>632</v>
      </c>
      <c r="B242" s="10" t="s">
        <v>77</v>
      </c>
      <c r="C242" s="10" t="s">
        <v>107</v>
      </c>
      <c r="D242" s="10" t="s">
        <v>157</v>
      </c>
      <c r="E242" s="10" t="n">
        <v>30</v>
      </c>
      <c r="F242" s="10" t="n">
        <v>3106.51</v>
      </c>
      <c r="G242" s="10" t="s">
        <v>237</v>
      </c>
      <c r="H242" s="11" t="str">
        <f aca="false">IF(G242="","Open","Paid")</f>
        <v>Paid</v>
      </c>
      <c r="I242" s="11" t="n">
        <f aca="false">IF(G242="","",DATEVALUE(G242)-DATEVALUE(C242))</f>
        <v>37</v>
      </c>
      <c r="J242" s="11" t="n">
        <f aca="true">IF(G242="",TODAY()-DATEVALUE(D242),DATEVALUE(G242)-DATEVALUE(D242))</f>
        <v>7</v>
      </c>
      <c r="K242" s="11" t="str">
        <f aca="false">IF(J242&lt;=0,"Current",IF(J242&lt;=30,"1-30 days",IF(J242&lt;=60,"31-60 days",IF(J242&lt;=90,"61-90 days","90+ days"))))</f>
        <v>1-30 days</v>
      </c>
    </row>
    <row r="243" customFormat="false" ht="15" hidden="false" customHeight="false" outlineLevel="0" collapsed="false">
      <c r="A243" s="10" t="s">
        <v>633</v>
      </c>
      <c r="B243" s="10" t="s">
        <v>243</v>
      </c>
      <c r="C243" s="10" t="s">
        <v>634</v>
      </c>
      <c r="D243" s="10" t="s">
        <v>635</v>
      </c>
      <c r="E243" s="10" t="n">
        <v>45</v>
      </c>
      <c r="F243" s="10" t="n">
        <v>2484.87</v>
      </c>
      <c r="G243" s="10" t="s">
        <v>636</v>
      </c>
      <c r="H243" s="11" t="str">
        <f aca="false">IF(G243="","Open","Paid")</f>
        <v>Paid</v>
      </c>
      <c r="I243" s="11" t="n">
        <f aca="false">IF(G243="","",DATEVALUE(G243)-DATEVALUE(C243))</f>
        <v>31</v>
      </c>
      <c r="J243" s="11" t="n">
        <f aca="true">IF(G243="",TODAY()-DATEVALUE(D243),DATEVALUE(G243)-DATEVALUE(D243))</f>
        <v>-14</v>
      </c>
      <c r="K243" s="11" t="str">
        <f aca="false">IF(J243&lt;=0,"Current",IF(J243&lt;=30,"1-30 days",IF(J243&lt;=60,"31-60 days",IF(J243&lt;=90,"61-90 days","90+ days"))))</f>
        <v>Current</v>
      </c>
    </row>
    <row r="244" customFormat="false" ht="15" hidden="false" customHeight="false" outlineLevel="0" collapsed="false">
      <c r="A244" s="10" t="s">
        <v>637</v>
      </c>
      <c r="B244" s="10" t="s">
        <v>487</v>
      </c>
      <c r="C244" s="10" t="s">
        <v>638</v>
      </c>
      <c r="D244" s="10" t="s">
        <v>639</v>
      </c>
      <c r="E244" s="10" t="n">
        <v>30</v>
      </c>
      <c r="F244" s="10" t="n">
        <v>910.26</v>
      </c>
      <c r="G244" s="10" t="s">
        <v>639</v>
      </c>
      <c r="H244" s="11" t="str">
        <f aca="false">IF(G244="","Open","Paid")</f>
        <v>Paid</v>
      </c>
      <c r="I244" s="11" t="n">
        <f aca="false">IF(G244="","",DATEVALUE(G244)-DATEVALUE(C244))</f>
        <v>30</v>
      </c>
      <c r="J244" s="11" t="n">
        <f aca="true">IF(G244="",TODAY()-DATEVALUE(D244),DATEVALUE(G244)-DATEVALUE(D244))</f>
        <v>0</v>
      </c>
      <c r="K244" s="11" t="str">
        <f aca="false">IF(J244&lt;=0,"Current",IF(J244&lt;=30,"1-30 days",IF(J244&lt;=60,"31-60 days",IF(J244&lt;=90,"61-90 days","90+ days"))))</f>
        <v>Current</v>
      </c>
    </row>
    <row r="245" customFormat="false" ht="15" hidden="false" customHeight="false" outlineLevel="0" collapsed="false">
      <c r="A245" s="10" t="s">
        <v>640</v>
      </c>
      <c r="B245" s="10" t="s">
        <v>119</v>
      </c>
      <c r="C245" s="10" t="s">
        <v>641</v>
      </c>
      <c r="D245" s="10" t="s">
        <v>65</v>
      </c>
      <c r="E245" s="10" t="n">
        <v>30</v>
      </c>
      <c r="F245" s="10" t="n">
        <v>7374.34</v>
      </c>
      <c r="G245" s="10" t="s">
        <v>251</v>
      </c>
      <c r="H245" s="11" t="str">
        <f aca="false">IF(G245="","Open","Paid")</f>
        <v>Paid</v>
      </c>
      <c r="I245" s="11" t="n">
        <f aca="false">IF(G245="","",DATEVALUE(G245)-DATEVALUE(C245))</f>
        <v>31</v>
      </c>
      <c r="J245" s="11" t="n">
        <f aca="true">IF(G245="",TODAY()-DATEVALUE(D245),DATEVALUE(G245)-DATEVALUE(D245))</f>
        <v>1</v>
      </c>
      <c r="K245" s="11" t="str">
        <f aca="false">IF(J245&lt;=0,"Current",IF(J245&lt;=30,"1-30 days",IF(J245&lt;=60,"31-60 days",IF(J245&lt;=90,"61-90 days","90+ days"))))</f>
        <v>1-30 days</v>
      </c>
    </row>
    <row r="246" customFormat="false" ht="15" hidden="false" customHeight="false" outlineLevel="0" collapsed="false">
      <c r="A246" s="10" t="s">
        <v>642</v>
      </c>
      <c r="B246" s="10" t="s">
        <v>366</v>
      </c>
      <c r="C246" s="10" t="s">
        <v>643</v>
      </c>
      <c r="D246" s="10" t="s">
        <v>100</v>
      </c>
      <c r="E246" s="10" t="n">
        <v>30</v>
      </c>
      <c r="F246" s="10" t="n">
        <v>577.35</v>
      </c>
      <c r="G246" s="10" t="s">
        <v>322</v>
      </c>
      <c r="H246" s="11" t="str">
        <f aca="false">IF(G246="","Open","Paid")</f>
        <v>Paid</v>
      </c>
      <c r="I246" s="11" t="n">
        <f aca="false">IF(G246="","",DATEVALUE(G246)-DATEVALUE(C246))</f>
        <v>24</v>
      </c>
      <c r="J246" s="11" t="n">
        <f aca="true">IF(G246="",TODAY()-DATEVALUE(D246),DATEVALUE(G246)-DATEVALUE(D246))</f>
        <v>-6</v>
      </c>
      <c r="K246" s="11" t="str">
        <f aca="false">IF(J246&lt;=0,"Current",IF(J246&lt;=30,"1-30 days",IF(J246&lt;=60,"31-60 days",IF(J246&lt;=90,"61-90 days","90+ days"))))</f>
        <v>Current</v>
      </c>
    </row>
    <row r="247" customFormat="false" ht="15" hidden="false" customHeight="false" outlineLevel="0" collapsed="false">
      <c r="A247" s="10" t="s">
        <v>644</v>
      </c>
      <c r="B247" s="10" t="s">
        <v>23</v>
      </c>
      <c r="C247" s="10" t="s">
        <v>126</v>
      </c>
      <c r="D247" s="10" t="s">
        <v>481</v>
      </c>
      <c r="E247" s="10" t="n">
        <v>45</v>
      </c>
      <c r="F247" s="10" t="n">
        <v>9412.51</v>
      </c>
      <c r="G247" s="10" t="s">
        <v>298</v>
      </c>
      <c r="H247" s="11" t="str">
        <f aca="false">IF(G247="","Open","Paid")</f>
        <v>Paid</v>
      </c>
      <c r="I247" s="11" t="n">
        <f aca="false">IF(G247="","",DATEVALUE(G247)-DATEVALUE(C247))</f>
        <v>50</v>
      </c>
      <c r="J247" s="11" t="n">
        <f aca="true">IF(G247="",TODAY()-DATEVALUE(D247),DATEVALUE(G247)-DATEVALUE(D247))</f>
        <v>5</v>
      </c>
      <c r="K247" s="11" t="str">
        <f aca="false">IF(J247&lt;=0,"Current",IF(J247&lt;=30,"1-30 days",IF(J247&lt;=60,"31-60 days",IF(J247&lt;=90,"61-90 days","90+ days"))))</f>
        <v>1-30 days</v>
      </c>
    </row>
    <row r="248" customFormat="false" ht="15" hidden="false" customHeight="false" outlineLevel="0" collapsed="false">
      <c r="A248" s="10" t="s">
        <v>645</v>
      </c>
      <c r="B248" s="10" t="s">
        <v>256</v>
      </c>
      <c r="C248" s="10" t="s">
        <v>241</v>
      </c>
      <c r="D248" s="10" t="s">
        <v>646</v>
      </c>
      <c r="E248" s="10" t="n">
        <v>45</v>
      </c>
      <c r="F248" s="10" t="n">
        <v>3849.24</v>
      </c>
      <c r="G248" s="10" t="s">
        <v>112</v>
      </c>
      <c r="H248" s="11" t="str">
        <f aca="false">IF(G248="","Open","Paid")</f>
        <v>Paid</v>
      </c>
      <c r="I248" s="11" t="n">
        <f aca="false">IF(G248="","",DATEVALUE(G248)-DATEVALUE(C248))</f>
        <v>35</v>
      </c>
      <c r="J248" s="11" t="n">
        <f aca="true">IF(G248="",TODAY()-DATEVALUE(D248),DATEVALUE(G248)-DATEVALUE(D248))</f>
        <v>-10</v>
      </c>
      <c r="K248" s="11" t="str">
        <f aca="false">IF(J248&lt;=0,"Current",IF(J248&lt;=30,"1-30 days",IF(J248&lt;=60,"31-60 days",IF(J248&lt;=90,"61-90 days","90+ days"))))</f>
        <v>Current</v>
      </c>
    </row>
    <row r="249" customFormat="false" ht="15" hidden="false" customHeight="false" outlineLevel="0" collapsed="false">
      <c r="A249" s="10" t="s">
        <v>647</v>
      </c>
      <c r="B249" s="10" t="s">
        <v>276</v>
      </c>
      <c r="C249" s="10" t="s">
        <v>648</v>
      </c>
      <c r="D249" s="10" t="s">
        <v>434</v>
      </c>
      <c r="E249" s="10" t="n">
        <v>60</v>
      </c>
      <c r="F249" s="10" t="n">
        <v>7574.61</v>
      </c>
      <c r="G249" s="10" t="s">
        <v>638</v>
      </c>
      <c r="H249" s="11" t="str">
        <f aca="false">IF(G249="","Open","Paid")</f>
        <v>Paid</v>
      </c>
      <c r="I249" s="11" t="n">
        <f aca="false">IF(G249="","",DATEVALUE(G249)-DATEVALUE(C249))</f>
        <v>66</v>
      </c>
      <c r="J249" s="11" t="n">
        <f aca="true">IF(G249="",TODAY()-DATEVALUE(D249),DATEVALUE(G249)-DATEVALUE(D249))</f>
        <v>6</v>
      </c>
      <c r="K249" s="11" t="str">
        <f aca="false">IF(J249&lt;=0,"Current",IF(J249&lt;=30,"1-30 days",IF(J249&lt;=60,"31-60 days",IF(J249&lt;=90,"61-90 days","90+ days"))))</f>
        <v>1-30 days</v>
      </c>
    </row>
    <row r="250" customFormat="false" ht="15" hidden="false" customHeight="false" outlineLevel="0" collapsed="false">
      <c r="A250" s="10" t="s">
        <v>649</v>
      </c>
      <c r="B250" s="10" t="s">
        <v>114</v>
      </c>
      <c r="C250" s="10" t="s">
        <v>553</v>
      </c>
      <c r="D250" s="10" t="s">
        <v>309</v>
      </c>
      <c r="E250" s="10" t="n">
        <v>30</v>
      </c>
      <c r="F250" s="10" t="n">
        <v>6087.98</v>
      </c>
      <c r="G250" s="10" t="s">
        <v>650</v>
      </c>
      <c r="H250" s="11" t="str">
        <f aca="false">IF(G250="","Open","Paid")</f>
        <v>Paid</v>
      </c>
      <c r="I250" s="11" t="n">
        <f aca="false">IF(G250="","",DATEVALUE(G250)-DATEVALUE(C250))</f>
        <v>36</v>
      </c>
      <c r="J250" s="11" t="n">
        <f aca="true">IF(G250="",TODAY()-DATEVALUE(D250),DATEVALUE(G250)-DATEVALUE(D250))</f>
        <v>6</v>
      </c>
      <c r="K250" s="11" t="str">
        <f aca="false">IF(J250&lt;=0,"Current",IF(J250&lt;=30,"1-30 days",IF(J250&lt;=60,"31-60 days",IF(J250&lt;=90,"61-90 days","90+ days"))))</f>
        <v>1-30 days</v>
      </c>
    </row>
    <row r="251" customFormat="false" ht="15" hidden="false" customHeight="false" outlineLevel="0" collapsed="false">
      <c r="A251" s="10" t="s">
        <v>651</v>
      </c>
      <c r="B251" s="10" t="s">
        <v>652</v>
      </c>
      <c r="C251" s="10" t="s">
        <v>653</v>
      </c>
      <c r="D251" s="10" t="s">
        <v>249</v>
      </c>
      <c r="E251" s="10" t="n">
        <v>30</v>
      </c>
      <c r="F251" s="10" t="n">
        <v>12473.17</v>
      </c>
      <c r="G251" s="10" t="s">
        <v>362</v>
      </c>
      <c r="H251" s="11" t="str">
        <f aca="false">IF(G251="","Open","Paid")</f>
        <v>Paid</v>
      </c>
      <c r="I251" s="11" t="n">
        <f aca="false">IF(G251="","",DATEVALUE(G251)-DATEVALUE(C251))</f>
        <v>1</v>
      </c>
      <c r="J251" s="11" t="n">
        <f aca="true">IF(G251="",TODAY()-DATEVALUE(D251),DATEVALUE(G251)-DATEVALUE(D251))</f>
        <v>-29</v>
      </c>
      <c r="K251" s="11" t="str">
        <f aca="false">IF(J251&lt;=0,"Current",IF(J251&lt;=30,"1-30 days",IF(J251&lt;=60,"31-60 days",IF(J251&lt;=90,"61-90 days","90+ days"))))</f>
        <v>Current</v>
      </c>
    </row>
    <row r="252" customFormat="false" ht="15" hidden="false" customHeight="false" outlineLevel="0" collapsed="false">
      <c r="A252" s="10" t="s">
        <v>654</v>
      </c>
      <c r="B252" s="10" t="s">
        <v>278</v>
      </c>
      <c r="C252" s="10" t="s">
        <v>413</v>
      </c>
      <c r="D252" s="10" t="s">
        <v>134</v>
      </c>
      <c r="E252" s="10" t="n">
        <v>30</v>
      </c>
      <c r="F252" s="10" t="n">
        <v>5992.36</v>
      </c>
      <c r="G252" s="10" t="s">
        <v>641</v>
      </c>
      <c r="H252" s="11" t="str">
        <f aca="false">IF(G252="","Open","Paid")</f>
        <v>Paid</v>
      </c>
      <c r="I252" s="11" t="n">
        <f aca="false">IF(G252="","",DATEVALUE(G252)-DATEVALUE(C252))</f>
        <v>44</v>
      </c>
      <c r="J252" s="11" t="n">
        <f aca="true">IF(G252="",TODAY()-DATEVALUE(D252),DATEVALUE(G252)-DATEVALUE(D252))</f>
        <v>14</v>
      </c>
      <c r="K252" s="11" t="str">
        <f aca="false">IF(J252&lt;=0,"Current",IF(J252&lt;=30,"1-30 days",IF(J252&lt;=60,"31-60 days",IF(J252&lt;=90,"61-90 days","90+ days"))))</f>
        <v>1-30 days</v>
      </c>
    </row>
    <row r="253" customFormat="false" ht="15" hidden="false" customHeight="false" outlineLevel="0" collapsed="false">
      <c r="A253" s="10" t="s">
        <v>655</v>
      </c>
      <c r="B253" s="10" t="s">
        <v>87</v>
      </c>
      <c r="C253" s="10" t="s">
        <v>126</v>
      </c>
      <c r="D253" s="10" t="s">
        <v>320</v>
      </c>
      <c r="E253" s="10" t="n">
        <v>30</v>
      </c>
      <c r="F253" s="10" t="n">
        <v>9218.21</v>
      </c>
      <c r="G253" s="10" t="s">
        <v>656</v>
      </c>
      <c r="H253" s="11" t="str">
        <f aca="false">IF(G253="","Open","Paid")</f>
        <v>Paid</v>
      </c>
      <c r="I253" s="11" t="n">
        <f aca="false">IF(G253="","",DATEVALUE(G253)-DATEVALUE(C253))</f>
        <v>26</v>
      </c>
      <c r="J253" s="11" t="n">
        <f aca="true">IF(G253="",TODAY()-DATEVALUE(D253),DATEVALUE(G253)-DATEVALUE(D253))</f>
        <v>-4</v>
      </c>
      <c r="K253" s="11" t="str">
        <f aca="false">IF(J253&lt;=0,"Current",IF(J253&lt;=30,"1-30 days",IF(J253&lt;=60,"31-60 days",IF(J253&lt;=90,"61-90 days","90+ days"))))</f>
        <v>Current</v>
      </c>
    </row>
    <row r="254" customFormat="false" ht="15" hidden="false" customHeight="false" outlineLevel="0" collapsed="false">
      <c r="A254" s="10" t="s">
        <v>657</v>
      </c>
      <c r="B254" s="10" t="s">
        <v>163</v>
      </c>
      <c r="C254" s="10" t="s">
        <v>398</v>
      </c>
      <c r="D254" s="10" t="s">
        <v>522</v>
      </c>
      <c r="E254" s="10" t="n">
        <v>60</v>
      </c>
      <c r="F254" s="10" t="n">
        <v>3333.19</v>
      </c>
      <c r="G254" s="10" t="s">
        <v>658</v>
      </c>
      <c r="H254" s="11" t="str">
        <f aca="false">IF(G254="","Open","Paid")</f>
        <v>Paid</v>
      </c>
      <c r="I254" s="11" t="n">
        <f aca="false">IF(G254="","",DATEVALUE(G254)-DATEVALUE(C254))</f>
        <v>79</v>
      </c>
      <c r="J254" s="11" t="n">
        <f aca="true">IF(G254="",TODAY()-DATEVALUE(D254),DATEVALUE(G254)-DATEVALUE(D254))</f>
        <v>19</v>
      </c>
      <c r="K254" s="11" t="str">
        <f aca="false">IF(J254&lt;=0,"Current",IF(J254&lt;=30,"1-30 days",IF(J254&lt;=60,"31-60 days",IF(J254&lt;=90,"61-90 days","90+ days"))))</f>
        <v>1-30 days</v>
      </c>
    </row>
    <row r="255" customFormat="false" ht="15" hidden="false" customHeight="false" outlineLevel="0" collapsed="false">
      <c r="A255" s="10" t="s">
        <v>659</v>
      </c>
      <c r="B255" s="10" t="s">
        <v>119</v>
      </c>
      <c r="C255" s="10" t="s">
        <v>434</v>
      </c>
      <c r="D255" s="10" t="s">
        <v>523</v>
      </c>
      <c r="E255" s="10" t="n">
        <v>45</v>
      </c>
      <c r="F255" s="10" t="n">
        <v>1515.79</v>
      </c>
      <c r="G255" s="10" t="s">
        <v>290</v>
      </c>
      <c r="H255" s="11" t="str">
        <f aca="false">IF(G255="","Open","Paid")</f>
        <v>Paid</v>
      </c>
      <c r="I255" s="11" t="n">
        <f aca="false">IF(G255="","",DATEVALUE(G255)-DATEVALUE(C255))</f>
        <v>57</v>
      </c>
      <c r="J255" s="11" t="n">
        <f aca="true">IF(G255="",TODAY()-DATEVALUE(D255),DATEVALUE(G255)-DATEVALUE(D255))</f>
        <v>12</v>
      </c>
      <c r="K255" s="11" t="str">
        <f aca="false">IF(J255&lt;=0,"Current",IF(J255&lt;=30,"1-30 days",IF(J255&lt;=60,"31-60 days",IF(J255&lt;=90,"61-90 days","90+ days"))))</f>
        <v>1-30 days</v>
      </c>
    </row>
    <row r="256" customFormat="false" ht="15" hidden="false" customHeight="false" outlineLevel="0" collapsed="false">
      <c r="A256" s="10" t="s">
        <v>660</v>
      </c>
      <c r="B256" s="10" t="s">
        <v>42</v>
      </c>
      <c r="C256" s="10" t="s">
        <v>658</v>
      </c>
      <c r="D256" s="10" t="s">
        <v>95</v>
      </c>
      <c r="E256" s="10" t="n">
        <v>30</v>
      </c>
      <c r="F256" s="10" t="n">
        <v>8242.32</v>
      </c>
      <c r="G256" s="10" t="s">
        <v>330</v>
      </c>
      <c r="H256" s="11" t="str">
        <f aca="false">IF(G256="","Open","Paid")</f>
        <v>Paid</v>
      </c>
      <c r="I256" s="11" t="n">
        <f aca="false">IF(G256="","",DATEVALUE(G256)-DATEVALUE(C256))</f>
        <v>26</v>
      </c>
      <c r="J256" s="11" t="n">
        <f aca="true">IF(G256="",TODAY()-DATEVALUE(D256),DATEVALUE(G256)-DATEVALUE(D256))</f>
        <v>-4</v>
      </c>
      <c r="K256" s="11" t="str">
        <f aca="false">IF(J256&lt;=0,"Current",IF(J256&lt;=30,"1-30 days",IF(J256&lt;=60,"31-60 days",IF(J256&lt;=90,"61-90 days","90+ days"))))</f>
        <v>Current</v>
      </c>
    </row>
    <row r="257" customFormat="false" ht="15" hidden="false" customHeight="false" outlineLevel="0" collapsed="false">
      <c r="A257" s="10" t="s">
        <v>661</v>
      </c>
      <c r="B257" s="10" t="s">
        <v>297</v>
      </c>
      <c r="C257" s="10" t="s">
        <v>157</v>
      </c>
      <c r="D257" s="10" t="s">
        <v>57</v>
      </c>
      <c r="E257" s="10" t="n">
        <v>30</v>
      </c>
      <c r="F257" s="10" t="n">
        <v>1480.61</v>
      </c>
      <c r="G257" s="10" t="s">
        <v>550</v>
      </c>
      <c r="H257" s="11" t="str">
        <f aca="false">IF(G257="","Open","Paid")</f>
        <v>Paid</v>
      </c>
      <c r="I257" s="11" t="n">
        <f aca="false">IF(G257="","",DATEVALUE(G257)-DATEVALUE(C257))</f>
        <v>50</v>
      </c>
      <c r="J257" s="11" t="n">
        <f aca="true">IF(G257="",TODAY()-DATEVALUE(D257),DATEVALUE(G257)-DATEVALUE(D257))</f>
        <v>20</v>
      </c>
      <c r="K257" s="11" t="str">
        <f aca="false">IF(J257&lt;=0,"Current",IF(J257&lt;=30,"1-30 days",IF(J257&lt;=60,"31-60 days",IF(J257&lt;=90,"61-90 days","90+ days"))))</f>
        <v>1-30 days</v>
      </c>
    </row>
    <row r="258" customFormat="false" ht="15" hidden="false" customHeight="false" outlineLevel="0" collapsed="false">
      <c r="A258" s="10" t="s">
        <v>662</v>
      </c>
      <c r="B258" s="10" t="s">
        <v>452</v>
      </c>
      <c r="C258" s="10" t="s">
        <v>382</v>
      </c>
      <c r="D258" s="10" t="s">
        <v>413</v>
      </c>
      <c r="E258" s="10" t="n">
        <v>60</v>
      </c>
      <c r="F258" s="10" t="n">
        <v>7328.15</v>
      </c>
      <c r="G258" s="10" t="s">
        <v>199</v>
      </c>
      <c r="H258" s="11" t="str">
        <f aca="false">IF(G258="","Open","Paid")</f>
        <v>Paid</v>
      </c>
      <c r="I258" s="11" t="n">
        <f aca="false">IF(G258="","",DATEVALUE(G258)-DATEVALUE(C258))</f>
        <v>46</v>
      </c>
      <c r="J258" s="11" t="n">
        <f aca="true">IF(G258="",TODAY()-DATEVALUE(D258),DATEVALUE(G258)-DATEVALUE(D258))</f>
        <v>-14</v>
      </c>
      <c r="K258" s="11" t="str">
        <f aca="false">IF(J258&lt;=0,"Current",IF(J258&lt;=30,"1-30 days",IF(J258&lt;=60,"31-60 days",IF(J258&lt;=90,"61-90 days","90+ days"))))</f>
        <v>Current</v>
      </c>
    </row>
    <row r="259" customFormat="false" ht="15" hidden="false" customHeight="false" outlineLevel="0" collapsed="false">
      <c r="A259" s="10" t="s">
        <v>663</v>
      </c>
      <c r="B259" s="10" t="s">
        <v>303</v>
      </c>
      <c r="C259" s="10" t="s">
        <v>177</v>
      </c>
      <c r="D259" s="10" t="s">
        <v>333</v>
      </c>
      <c r="E259" s="10" t="n">
        <v>30</v>
      </c>
      <c r="F259" s="10" t="n">
        <v>2283.24</v>
      </c>
      <c r="G259" s="10"/>
      <c r="H259" s="11" t="str">
        <f aca="false">IF(G259="","Open","Paid")</f>
        <v>Open</v>
      </c>
      <c r="I259" s="11" t="str">
        <f aca="false">IF(G259="","",DATEVALUE(G259)-DATEVALUE(C259))</f>
        <v/>
      </c>
      <c r="J259" s="11" t="n">
        <f aca="true">IF(G259="",TODAY()-DATEVALUE(D259),DATEVALUE(G259)-DATEVALUE(D259))</f>
        <v>11</v>
      </c>
      <c r="K259" s="11" t="str">
        <f aca="false">IF(J259&lt;=0,"Current",IF(J259&lt;=30,"1-30 days",IF(J259&lt;=60,"31-60 days",IF(J259&lt;=90,"61-90 days","90+ days"))))</f>
        <v>1-30 days</v>
      </c>
    </row>
    <row r="260" customFormat="false" ht="15" hidden="false" customHeight="false" outlineLevel="0" collapsed="false">
      <c r="A260" s="10" t="s">
        <v>664</v>
      </c>
      <c r="B260" s="10" t="s">
        <v>243</v>
      </c>
      <c r="C260" s="10" t="s">
        <v>665</v>
      </c>
      <c r="D260" s="10" t="s">
        <v>492</v>
      </c>
      <c r="E260" s="10" t="n">
        <v>30</v>
      </c>
      <c r="F260" s="10" t="n">
        <v>5638.49</v>
      </c>
      <c r="G260" s="10" t="s">
        <v>666</v>
      </c>
      <c r="H260" s="11" t="str">
        <f aca="false">IF(G260="","Open","Paid")</f>
        <v>Paid</v>
      </c>
      <c r="I260" s="11" t="n">
        <f aca="false">IF(G260="","",DATEVALUE(G260)-DATEVALUE(C260))</f>
        <v>6</v>
      </c>
      <c r="J260" s="11" t="n">
        <f aca="true">IF(G260="",TODAY()-DATEVALUE(D260),DATEVALUE(G260)-DATEVALUE(D260))</f>
        <v>-24</v>
      </c>
      <c r="K260" s="11" t="str">
        <f aca="false">IF(J260&lt;=0,"Current",IF(J260&lt;=30,"1-30 days",IF(J260&lt;=60,"31-60 days",IF(J260&lt;=90,"61-90 days","90+ days"))))</f>
        <v>Current</v>
      </c>
    </row>
    <row r="261" customFormat="false" ht="15" hidden="false" customHeight="false" outlineLevel="0" collapsed="false">
      <c r="A261" s="10" t="s">
        <v>667</v>
      </c>
      <c r="B261" s="10" t="s">
        <v>55</v>
      </c>
      <c r="C261" s="10" t="s">
        <v>588</v>
      </c>
      <c r="D261" s="10" t="s">
        <v>624</v>
      </c>
      <c r="E261" s="10" t="n">
        <v>30</v>
      </c>
      <c r="F261" s="10" t="n">
        <v>12602.9</v>
      </c>
      <c r="G261" s="10" t="s">
        <v>186</v>
      </c>
      <c r="H261" s="11" t="str">
        <f aca="false">IF(G261="","Open","Paid")</f>
        <v>Paid</v>
      </c>
      <c r="I261" s="11" t="n">
        <f aca="false">IF(G261="","",DATEVALUE(G261)-DATEVALUE(C261))</f>
        <v>43</v>
      </c>
      <c r="J261" s="11" t="n">
        <f aca="true">IF(G261="",TODAY()-DATEVALUE(D261),DATEVALUE(G261)-DATEVALUE(D261))</f>
        <v>13</v>
      </c>
      <c r="K261" s="11" t="str">
        <f aca="false">IF(J261&lt;=0,"Current",IF(J261&lt;=30,"1-30 days",IF(J261&lt;=60,"31-60 days",IF(J261&lt;=90,"61-90 days","90+ days"))))</f>
        <v>1-30 days</v>
      </c>
    </row>
    <row r="262" customFormat="false" ht="15" hidden="false" customHeight="false" outlineLevel="0" collapsed="false">
      <c r="A262" s="10" t="s">
        <v>668</v>
      </c>
      <c r="B262" s="10" t="s">
        <v>233</v>
      </c>
      <c r="C262" s="10" t="s">
        <v>506</v>
      </c>
      <c r="D262" s="10" t="s">
        <v>103</v>
      </c>
      <c r="E262" s="10" t="n">
        <v>30</v>
      </c>
      <c r="F262" s="10" t="n">
        <v>7005.1</v>
      </c>
      <c r="G262" s="10" t="s">
        <v>665</v>
      </c>
      <c r="H262" s="11" t="str">
        <f aca="false">IF(G262="","Open","Paid")</f>
        <v>Paid</v>
      </c>
      <c r="I262" s="11" t="n">
        <f aca="false">IF(G262="","",DATEVALUE(G262)-DATEVALUE(C262))</f>
        <v>29</v>
      </c>
      <c r="J262" s="11" t="n">
        <f aca="true">IF(G262="",TODAY()-DATEVALUE(D262),DATEVALUE(G262)-DATEVALUE(D262))</f>
        <v>-1</v>
      </c>
      <c r="K262" s="11" t="str">
        <f aca="false">IF(J262&lt;=0,"Current",IF(J262&lt;=30,"1-30 days",IF(J262&lt;=60,"31-60 days",IF(J262&lt;=90,"61-90 days","90+ days"))))</f>
        <v>Current</v>
      </c>
    </row>
    <row r="263" customFormat="false" ht="15" hidden="false" customHeight="false" outlineLevel="0" collapsed="false">
      <c r="A263" s="10" t="s">
        <v>669</v>
      </c>
      <c r="B263" s="10" t="s">
        <v>106</v>
      </c>
      <c r="C263" s="10" t="s">
        <v>480</v>
      </c>
      <c r="D263" s="10" t="s">
        <v>481</v>
      </c>
      <c r="E263" s="10" t="n">
        <v>30</v>
      </c>
      <c r="F263" s="10" t="n">
        <v>4198.57</v>
      </c>
      <c r="G263" s="10" t="s">
        <v>78</v>
      </c>
      <c r="H263" s="11" t="str">
        <f aca="false">IF(G263="","Open","Paid")</f>
        <v>Paid</v>
      </c>
      <c r="I263" s="11" t="n">
        <f aca="false">IF(G263="","",DATEVALUE(G263)-DATEVALUE(C263))</f>
        <v>66</v>
      </c>
      <c r="J263" s="11" t="n">
        <f aca="true">IF(G263="",TODAY()-DATEVALUE(D263),DATEVALUE(G263)-DATEVALUE(D263))</f>
        <v>36</v>
      </c>
      <c r="K263" s="11" t="str">
        <f aca="false">IF(J263&lt;=0,"Current",IF(J263&lt;=30,"1-30 days",IF(J263&lt;=60,"31-60 days",IF(J263&lt;=90,"61-90 days","90+ days"))))</f>
        <v>31-60 days</v>
      </c>
    </row>
    <row r="264" customFormat="false" ht="15" hidden="false" customHeight="false" outlineLevel="0" collapsed="false">
      <c r="A264" s="10" t="s">
        <v>670</v>
      </c>
      <c r="B264" s="10" t="s">
        <v>185</v>
      </c>
      <c r="C264" s="10" t="s">
        <v>326</v>
      </c>
      <c r="D264" s="10" t="s">
        <v>93</v>
      </c>
      <c r="E264" s="10" t="n">
        <v>30</v>
      </c>
      <c r="F264" s="10" t="n">
        <v>6170.46</v>
      </c>
      <c r="G264" s="10" t="s">
        <v>606</v>
      </c>
      <c r="H264" s="11" t="str">
        <f aca="false">IF(G264="","Open","Paid")</f>
        <v>Paid</v>
      </c>
      <c r="I264" s="11" t="n">
        <f aca="false">IF(G264="","",DATEVALUE(G264)-DATEVALUE(C264))</f>
        <v>23</v>
      </c>
      <c r="J264" s="11" t="n">
        <f aca="true">IF(G264="",TODAY()-DATEVALUE(D264),DATEVALUE(G264)-DATEVALUE(D264))</f>
        <v>-7</v>
      </c>
      <c r="K264" s="11" t="str">
        <f aca="false">IF(J264&lt;=0,"Current",IF(J264&lt;=30,"1-30 days",IF(J264&lt;=60,"31-60 days",IF(J264&lt;=90,"61-90 days","90+ days"))))</f>
        <v>Current</v>
      </c>
    </row>
    <row r="265" customFormat="false" ht="15" hidden="false" customHeight="false" outlineLevel="0" collapsed="false">
      <c r="A265" s="10" t="s">
        <v>671</v>
      </c>
      <c r="B265" s="10" t="s">
        <v>114</v>
      </c>
      <c r="C265" s="10" t="s">
        <v>94</v>
      </c>
      <c r="D265" s="10" t="s">
        <v>227</v>
      </c>
      <c r="E265" s="10" t="n">
        <v>30</v>
      </c>
      <c r="F265" s="10" t="n">
        <v>3412.27</v>
      </c>
      <c r="G265" s="10" t="s">
        <v>391</v>
      </c>
      <c r="H265" s="11" t="str">
        <f aca="false">IF(G265="","Open","Paid")</f>
        <v>Paid</v>
      </c>
      <c r="I265" s="11" t="n">
        <f aca="false">IF(G265="","",DATEVALUE(G265)-DATEVALUE(C265))</f>
        <v>17</v>
      </c>
      <c r="J265" s="11" t="n">
        <f aca="true">IF(G265="",TODAY()-DATEVALUE(D265),DATEVALUE(G265)-DATEVALUE(D265))</f>
        <v>-13</v>
      </c>
      <c r="K265" s="11" t="str">
        <f aca="false">IF(J265&lt;=0,"Current",IF(J265&lt;=30,"1-30 days",IF(J265&lt;=60,"31-60 days",IF(J265&lt;=90,"61-90 days","90+ days"))))</f>
        <v>Current</v>
      </c>
    </row>
    <row r="266" customFormat="false" ht="15" hidden="false" customHeight="false" outlineLevel="0" collapsed="false">
      <c r="A266" s="10" t="s">
        <v>672</v>
      </c>
      <c r="B266" s="10" t="s">
        <v>233</v>
      </c>
      <c r="C266" s="10" t="s">
        <v>673</v>
      </c>
      <c r="D266" s="10" t="s">
        <v>634</v>
      </c>
      <c r="E266" s="10" t="n">
        <v>45</v>
      </c>
      <c r="F266" s="10" t="n">
        <v>15293.88</v>
      </c>
      <c r="G266" s="10" t="s">
        <v>36</v>
      </c>
      <c r="H266" s="11" t="str">
        <f aca="false">IF(G266="","Open","Paid")</f>
        <v>Paid</v>
      </c>
      <c r="I266" s="11" t="n">
        <f aca="false">IF(G266="","",DATEVALUE(G266)-DATEVALUE(C266))</f>
        <v>55</v>
      </c>
      <c r="J266" s="11" t="n">
        <f aca="true">IF(G266="",TODAY()-DATEVALUE(D266),DATEVALUE(G266)-DATEVALUE(D266))</f>
        <v>10</v>
      </c>
      <c r="K266" s="11" t="str">
        <f aca="false">IF(J266&lt;=0,"Current",IF(J266&lt;=30,"1-30 days",IF(J266&lt;=60,"31-60 days",IF(J266&lt;=90,"61-90 days","90+ days"))))</f>
        <v>1-30 days</v>
      </c>
    </row>
    <row r="267" customFormat="false" ht="15" hidden="false" customHeight="false" outlineLevel="0" collapsed="false">
      <c r="A267" s="10" t="s">
        <v>674</v>
      </c>
      <c r="B267" s="10" t="s">
        <v>175</v>
      </c>
      <c r="C267" s="10" t="s">
        <v>330</v>
      </c>
      <c r="D267" s="10" t="s">
        <v>331</v>
      </c>
      <c r="E267" s="10" t="n">
        <v>30</v>
      </c>
      <c r="F267" s="10" t="n">
        <v>2953.24</v>
      </c>
      <c r="G267" s="10" t="s">
        <v>227</v>
      </c>
      <c r="H267" s="11" t="str">
        <f aca="false">IF(G267="","Open","Paid")</f>
        <v>Paid</v>
      </c>
      <c r="I267" s="11" t="n">
        <f aca="false">IF(G267="","",DATEVALUE(G267)-DATEVALUE(C267))</f>
        <v>38</v>
      </c>
      <c r="J267" s="11" t="n">
        <f aca="true">IF(G267="",TODAY()-DATEVALUE(D267),DATEVALUE(G267)-DATEVALUE(D267))</f>
        <v>8</v>
      </c>
      <c r="K267" s="11" t="str">
        <f aca="false">IF(J267&lt;=0,"Current",IF(J267&lt;=30,"1-30 days",IF(J267&lt;=60,"31-60 days",IF(J267&lt;=90,"61-90 days","90+ days"))))</f>
        <v>1-30 days</v>
      </c>
    </row>
    <row r="268" customFormat="false" ht="15" hidden="false" customHeight="false" outlineLevel="0" collapsed="false">
      <c r="A268" s="10" t="s">
        <v>675</v>
      </c>
      <c r="B268" s="10" t="s">
        <v>87</v>
      </c>
      <c r="C268" s="10" t="s">
        <v>215</v>
      </c>
      <c r="D268" s="10" t="s">
        <v>164</v>
      </c>
      <c r="E268" s="10" t="n">
        <v>30</v>
      </c>
      <c r="F268" s="10" t="n">
        <v>4486.27</v>
      </c>
      <c r="G268" s="10" t="s">
        <v>90</v>
      </c>
      <c r="H268" s="11" t="str">
        <f aca="false">IF(G268="","Open","Paid")</f>
        <v>Paid</v>
      </c>
      <c r="I268" s="11" t="n">
        <f aca="false">IF(G268="","",DATEVALUE(G268)-DATEVALUE(C268))</f>
        <v>9</v>
      </c>
      <c r="J268" s="11" t="n">
        <f aca="true">IF(G268="",TODAY()-DATEVALUE(D268),DATEVALUE(G268)-DATEVALUE(D268))</f>
        <v>-21</v>
      </c>
      <c r="K268" s="11" t="str">
        <f aca="false">IF(J268&lt;=0,"Current",IF(J268&lt;=30,"1-30 days",IF(J268&lt;=60,"31-60 days",IF(J268&lt;=90,"61-90 days","90+ days"))))</f>
        <v>Current</v>
      </c>
    </row>
    <row r="269" customFormat="false" ht="15" hidden="false" customHeight="false" outlineLevel="0" collapsed="false">
      <c r="A269" s="10" t="s">
        <v>676</v>
      </c>
      <c r="B269" s="10" t="s">
        <v>342</v>
      </c>
      <c r="C269" s="10" t="s">
        <v>231</v>
      </c>
      <c r="D269" s="10" t="s">
        <v>677</v>
      </c>
      <c r="E269" s="10" t="n">
        <v>60</v>
      </c>
      <c r="F269" s="10" t="n">
        <v>6649.69</v>
      </c>
      <c r="G269" s="10" t="s">
        <v>460</v>
      </c>
      <c r="H269" s="11" t="str">
        <f aca="false">IF(G269="","Open","Paid")</f>
        <v>Paid</v>
      </c>
      <c r="I269" s="11" t="n">
        <f aca="false">IF(G269="","",DATEVALUE(G269)-DATEVALUE(C269))</f>
        <v>55</v>
      </c>
      <c r="J269" s="11" t="n">
        <f aca="true">IF(G269="",TODAY()-DATEVALUE(D269),DATEVALUE(G269)-DATEVALUE(D269))</f>
        <v>-5</v>
      </c>
      <c r="K269" s="11" t="str">
        <f aca="false">IF(J269&lt;=0,"Current",IF(J269&lt;=30,"1-30 days",IF(J269&lt;=60,"31-60 days",IF(J269&lt;=90,"61-90 days","90+ days"))))</f>
        <v>Current</v>
      </c>
    </row>
    <row r="270" customFormat="false" ht="15" hidden="false" customHeight="false" outlineLevel="0" collapsed="false">
      <c r="A270" s="10" t="s">
        <v>678</v>
      </c>
      <c r="B270" s="10" t="s">
        <v>469</v>
      </c>
      <c r="C270" s="10" t="s">
        <v>230</v>
      </c>
      <c r="D270" s="10" t="s">
        <v>679</v>
      </c>
      <c r="E270" s="10" t="n">
        <v>45</v>
      </c>
      <c r="F270" s="10" t="n">
        <v>5912.91</v>
      </c>
      <c r="G270" s="10" t="s">
        <v>333</v>
      </c>
      <c r="H270" s="11" t="str">
        <f aca="false">IF(G270="","Open","Paid")</f>
        <v>Paid</v>
      </c>
      <c r="I270" s="11" t="n">
        <f aca="false">IF(G270="","",DATEVALUE(G270)-DATEVALUE(C270))</f>
        <v>34</v>
      </c>
      <c r="J270" s="11" t="n">
        <f aca="true">IF(G270="",TODAY()-DATEVALUE(D270),DATEVALUE(G270)-DATEVALUE(D270))</f>
        <v>-11</v>
      </c>
      <c r="K270" s="11" t="str">
        <f aca="false">IF(J270&lt;=0,"Current",IF(J270&lt;=30,"1-30 days",IF(J270&lt;=60,"31-60 days",IF(J270&lt;=90,"61-90 days","90+ days"))))</f>
        <v>Current</v>
      </c>
    </row>
    <row r="271" customFormat="false" ht="15" hidden="false" customHeight="false" outlineLevel="0" collapsed="false">
      <c r="A271" s="10" t="s">
        <v>680</v>
      </c>
      <c r="B271" s="10" t="s">
        <v>77</v>
      </c>
      <c r="C271" s="10" t="s">
        <v>477</v>
      </c>
      <c r="D271" s="10" t="s">
        <v>478</v>
      </c>
      <c r="E271" s="10" t="n">
        <v>30</v>
      </c>
      <c r="F271" s="10" t="n">
        <v>6304.81</v>
      </c>
      <c r="G271" s="10"/>
      <c r="H271" s="11" t="str">
        <f aca="false">IF(G271="","Open","Paid")</f>
        <v>Open</v>
      </c>
      <c r="I271" s="11" t="str">
        <f aca="false">IF(G271="","",DATEVALUE(G271)-DATEVALUE(C271))</f>
        <v/>
      </c>
      <c r="J271" s="11" t="n">
        <f aca="true">IF(G271="",TODAY()-DATEVALUE(D271),DATEVALUE(G271)-DATEVALUE(D271))</f>
        <v>-20</v>
      </c>
      <c r="K271" s="11" t="str">
        <f aca="false">IF(J271&lt;=0,"Current",IF(J271&lt;=30,"1-30 days",IF(J271&lt;=60,"31-60 days",IF(J271&lt;=90,"61-90 days","90+ days"))))</f>
        <v>Current</v>
      </c>
    </row>
    <row r="272" customFormat="false" ht="15" hidden="false" customHeight="false" outlineLevel="0" collapsed="false">
      <c r="A272" s="10" t="s">
        <v>681</v>
      </c>
      <c r="B272" s="10" t="s">
        <v>55</v>
      </c>
      <c r="C272" s="10" t="s">
        <v>226</v>
      </c>
      <c r="D272" s="10" t="s">
        <v>392</v>
      </c>
      <c r="E272" s="10" t="n">
        <v>30</v>
      </c>
      <c r="F272" s="10" t="n">
        <v>3458.39</v>
      </c>
      <c r="G272" s="10" t="s">
        <v>477</v>
      </c>
      <c r="H272" s="11" t="str">
        <f aca="false">IF(G272="","Open","Paid")</f>
        <v>Paid</v>
      </c>
      <c r="I272" s="11" t="n">
        <f aca="false">IF(G272="","",DATEVALUE(G272)-DATEVALUE(C272))</f>
        <v>13</v>
      </c>
      <c r="J272" s="11" t="n">
        <f aca="true">IF(G272="",TODAY()-DATEVALUE(D272),DATEVALUE(G272)-DATEVALUE(D272))</f>
        <v>-17</v>
      </c>
      <c r="K272" s="11" t="str">
        <f aca="false">IF(J272&lt;=0,"Current",IF(J272&lt;=30,"1-30 days",IF(J272&lt;=60,"31-60 days",IF(J272&lt;=90,"61-90 days","90+ days"))))</f>
        <v>Current</v>
      </c>
    </row>
    <row r="273" customFormat="false" ht="15" hidden="false" customHeight="false" outlineLevel="0" collapsed="false">
      <c r="A273" s="10" t="s">
        <v>682</v>
      </c>
      <c r="B273" s="10" t="s">
        <v>92</v>
      </c>
      <c r="C273" s="10" t="s">
        <v>526</v>
      </c>
      <c r="D273" s="10" t="s">
        <v>666</v>
      </c>
      <c r="E273" s="10" t="n">
        <v>45</v>
      </c>
      <c r="F273" s="10" t="n">
        <v>4091.53</v>
      </c>
      <c r="G273" s="10"/>
      <c r="H273" s="11" t="str">
        <f aca="false">IF(G273="","Open","Paid")</f>
        <v>Open</v>
      </c>
      <c r="I273" s="11" t="str">
        <f aca="false">IF(G273="","",DATEVALUE(G273)-DATEVALUE(C273))</f>
        <v/>
      </c>
      <c r="J273" s="11" t="n">
        <f aca="true">IF(G273="",TODAY()-DATEVALUE(D273),DATEVALUE(G273)-DATEVALUE(D273))</f>
        <v>21</v>
      </c>
      <c r="K273" s="11" t="str">
        <f aca="false">IF(J273&lt;=0,"Current",IF(J273&lt;=30,"1-30 days",IF(J273&lt;=60,"31-60 days",IF(J273&lt;=90,"61-90 days","90+ days"))))</f>
        <v>1-30 days</v>
      </c>
    </row>
    <row r="274" customFormat="false" ht="15" hidden="false" customHeight="false" outlineLevel="0" collapsed="false">
      <c r="A274" s="10" t="s">
        <v>683</v>
      </c>
      <c r="B274" s="10" t="s">
        <v>303</v>
      </c>
      <c r="C274" s="10" t="s">
        <v>684</v>
      </c>
      <c r="D274" s="10" t="s">
        <v>44</v>
      </c>
      <c r="E274" s="10" t="n">
        <v>30</v>
      </c>
      <c r="F274" s="10" t="n">
        <v>8028.58</v>
      </c>
      <c r="G274" s="10"/>
      <c r="H274" s="11" t="str">
        <f aca="false">IF(G274="","Open","Paid")</f>
        <v>Open</v>
      </c>
      <c r="I274" s="11" t="str">
        <f aca="false">IF(G274="","",DATEVALUE(G274)-DATEVALUE(C274))</f>
        <v/>
      </c>
      <c r="J274" s="11" t="n">
        <f aca="true">IF(G274="",TODAY()-DATEVALUE(D274),DATEVALUE(G274)-DATEVALUE(D274))</f>
        <v>-8</v>
      </c>
      <c r="K274" s="11" t="str">
        <f aca="false">IF(J274&lt;=0,"Current",IF(J274&lt;=30,"1-30 days",IF(J274&lt;=60,"31-60 days",IF(J274&lt;=90,"61-90 days","90+ days"))))</f>
        <v>Current</v>
      </c>
    </row>
    <row r="275" customFormat="false" ht="15" hidden="false" customHeight="false" outlineLevel="0" collapsed="false">
      <c r="A275" s="10" t="s">
        <v>685</v>
      </c>
      <c r="B275" s="10" t="s">
        <v>28</v>
      </c>
      <c r="C275" s="10" t="s">
        <v>450</v>
      </c>
      <c r="D275" s="10" t="s">
        <v>446</v>
      </c>
      <c r="E275" s="10" t="n">
        <v>30</v>
      </c>
      <c r="F275" s="10" t="n">
        <v>7805.73</v>
      </c>
      <c r="G275" s="10" t="s">
        <v>361</v>
      </c>
      <c r="H275" s="11" t="str">
        <f aca="false">IF(G275="","Open","Paid")</f>
        <v>Paid</v>
      </c>
      <c r="I275" s="11" t="n">
        <f aca="false">IF(G275="","",DATEVALUE(G275)-DATEVALUE(C275))</f>
        <v>16</v>
      </c>
      <c r="J275" s="11" t="n">
        <f aca="true">IF(G275="",TODAY()-DATEVALUE(D275),DATEVALUE(G275)-DATEVALUE(D275))</f>
        <v>-14</v>
      </c>
      <c r="K275" s="11" t="str">
        <f aca="false">IF(J275&lt;=0,"Current",IF(J275&lt;=30,"1-30 days",IF(J275&lt;=60,"31-60 days",IF(J275&lt;=90,"61-90 days","90+ days"))))</f>
        <v>Current</v>
      </c>
    </row>
    <row r="276" customFormat="false" ht="15" hidden="false" customHeight="false" outlineLevel="0" collapsed="false">
      <c r="A276" s="10" t="s">
        <v>686</v>
      </c>
      <c r="B276" s="10" t="s">
        <v>55</v>
      </c>
      <c r="C276" s="10" t="s">
        <v>52</v>
      </c>
      <c r="D276" s="10" t="s">
        <v>268</v>
      </c>
      <c r="E276" s="10" t="n">
        <v>60</v>
      </c>
      <c r="F276" s="10" t="n">
        <v>5995.44</v>
      </c>
      <c r="G276" s="10" t="s">
        <v>322</v>
      </c>
      <c r="H276" s="11" t="str">
        <f aca="false">IF(G276="","Open","Paid")</f>
        <v>Paid</v>
      </c>
      <c r="I276" s="11" t="n">
        <f aca="false">IF(G276="","",DATEVALUE(G276)-DATEVALUE(C276))</f>
        <v>51</v>
      </c>
      <c r="J276" s="11" t="n">
        <f aca="true">IF(G276="",TODAY()-DATEVALUE(D276),DATEVALUE(G276)-DATEVALUE(D276))</f>
        <v>-9</v>
      </c>
      <c r="K276" s="11" t="str">
        <f aca="false">IF(J276&lt;=0,"Current",IF(J276&lt;=30,"1-30 days",IF(J276&lt;=60,"31-60 days",IF(J276&lt;=90,"61-90 days","90+ days"))))</f>
        <v>Current</v>
      </c>
    </row>
    <row r="277" customFormat="false" ht="15" hidden="false" customHeight="false" outlineLevel="0" collapsed="false">
      <c r="A277" s="10" t="s">
        <v>687</v>
      </c>
      <c r="B277" s="10" t="s">
        <v>568</v>
      </c>
      <c r="C277" s="10" t="s">
        <v>187</v>
      </c>
      <c r="D277" s="10" t="s">
        <v>67</v>
      </c>
      <c r="E277" s="10" t="n">
        <v>30</v>
      </c>
      <c r="F277" s="10" t="n">
        <v>9860.27</v>
      </c>
      <c r="G277" s="10" t="s">
        <v>344</v>
      </c>
      <c r="H277" s="11" t="str">
        <f aca="false">IF(G277="","Open","Paid")</f>
        <v>Paid</v>
      </c>
      <c r="I277" s="11" t="n">
        <f aca="false">IF(G277="","",DATEVALUE(G277)-DATEVALUE(C277))</f>
        <v>20</v>
      </c>
      <c r="J277" s="11" t="n">
        <f aca="true">IF(G277="",TODAY()-DATEVALUE(D277),DATEVALUE(G277)-DATEVALUE(D277))</f>
        <v>-10</v>
      </c>
      <c r="K277" s="11" t="str">
        <f aca="false">IF(J277&lt;=0,"Current",IF(J277&lt;=30,"1-30 days",IF(J277&lt;=60,"31-60 days",IF(J277&lt;=90,"61-90 days","90+ days"))))</f>
        <v>Current</v>
      </c>
    </row>
    <row r="278" customFormat="false" ht="15" hidden="false" customHeight="false" outlineLevel="0" collapsed="false">
      <c r="A278" s="10" t="s">
        <v>688</v>
      </c>
      <c r="B278" s="10" t="s">
        <v>73</v>
      </c>
      <c r="C278" s="10" t="s">
        <v>517</v>
      </c>
      <c r="D278" s="10" t="s">
        <v>136</v>
      </c>
      <c r="E278" s="10" t="n">
        <v>45</v>
      </c>
      <c r="F278" s="10" t="n">
        <v>8209.17</v>
      </c>
      <c r="G278" s="10" t="s">
        <v>658</v>
      </c>
      <c r="H278" s="11" t="str">
        <f aca="false">IF(G278="","Open","Paid")</f>
        <v>Paid</v>
      </c>
      <c r="I278" s="11" t="n">
        <f aca="false">IF(G278="","",DATEVALUE(G278)-DATEVALUE(C278))</f>
        <v>29</v>
      </c>
      <c r="J278" s="11" t="n">
        <f aca="true">IF(G278="",TODAY()-DATEVALUE(D278),DATEVALUE(G278)-DATEVALUE(D278))</f>
        <v>-16</v>
      </c>
      <c r="K278" s="11" t="str">
        <f aca="false">IF(J278&lt;=0,"Current",IF(J278&lt;=30,"1-30 days",IF(J278&lt;=60,"31-60 days",IF(J278&lt;=90,"61-90 days","90+ days"))))</f>
        <v>Current</v>
      </c>
    </row>
    <row r="279" customFormat="false" ht="15" hidden="false" customHeight="false" outlineLevel="0" collapsed="false">
      <c r="A279" s="10" t="s">
        <v>689</v>
      </c>
      <c r="B279" s="10" t="s">
        <v>217</v>
      </c>
      <c r="C279" s="10" t="s">
        <v>420</v>
      </c>
      <c r="D279" s="10" t="s">
        <v>690</v>
      </c>
      <c r="E279" s="10" t="n">
        <v>30</v>
      </c>
      <c r="F279" s="10" t="n">
        <v>7672.84</v>
      </c>
      <c r="G279" s="10" t="s">
        <v>349</v>
      </c>
      <c r="H279" s="11" t="str">
        <f aca="false">IF(G279="","Open","Paid")</f>
        <v>Paid</v>
      </c>
      <c r="I279" s="11" t="n">
        <f aca="false">IF(G279="","",DATEVALUE(G279)-DATEVALUE(C279))</f>
        <v>31</v>
      </c>
      <c r="J279" s="11" t="n">
        <f aca="true">IF(G279="",TODAY()-DATEVALUE(D279),DATEVALUE(G279)-DATEVALUE(D279))</f>
        <v>1</v>
      </c>
      <c r="K279" s="11" t="str">
        <f aca="false">IF(J279&lt;=0,"Current",IF(J279&lt;=30,"1-30 days",IF(J279&lt;=60,"31-60 days",IF(J279&lt;=90,"61-90 days","90+ days"))))</f>
        <v>1-30 days</v>
      </c>
    </row>
    <row r="280" customFormat="false" ht="15" hidden="false" customHeight="false" outlineLevel="0" collapsed="false">
      <c r="A280" s="10" t="s">
        <v>691</v>
      </c>
      <c r="B280" s="10" t="s">
        <v>55</v>
      </c>
      <c r="C280" s="10" t="s">
        <v>373</v>
      </c>
      <c r="D280" s="10" t="s">
        <v>198</v>
      </c>
      <c r="E280" s="10" t="n">
        <v>45</v>
      </c>
      <c r="F280" s="10" t="n">
        <v>1458.75</v>
      </c>
      <c r="G280" s="10" t="s">
        <v>572</v>
      </c>
      <c r="H280" s="11" t="str">
        <f aca="false">IF(G280="","Open","Paid")</f>
        <v>Paid</v>
      </c>
      <c r="I280" s="11" t="n">
        <f aca="false">IF(G280="","",DATEVALUE(G280)-DATEVALUE(C280))</f>
        <v>30</v>
      </c>
      <c r="J280" s="11" t="n">
        <f aca="true">IF(G280="",TODAY()-DATEVALUE(D280),DATEVALUE(G280)-DATEVALUE(D280))</f>
        <v>-15</v>
      </c>
      <c r="K280" s="11" t="str">
        <f aca="false">IF(J280&lt;=0,"Current",IF(J280&lt;=30,"1-30 days",IF(J280&lt;=60,"31-60 days",IF(J280&lt;=90,"61-90 days","90+ days"))))</f>
        <v>Current</v>
      </c>
    </row>
    <row r="281" customFormat="false" ht="15" hidden="false" customHeight="false" outlineLevel="0" collapsed="false">
      <c r="A281" s="10" t="s">
        <v>692</v>
      </c>
      <c r="B281" s="10" t="s">
        <v>119</v>
      </c>
      <c r="C281" s="10" t="s">
        <v>693</v>
      </c>
      <c r="D281" s="10" t="s">
        <v>500</v>
      </c>
      <c r="E281" s="10" t="n">
        <v>30</v>
      </c>
      <c r="F281" s="10" t="n">
        <v>5953.22</v>
      </c>
      <c r="G281" s="10" t="s">
        <v>443</v>
      </c>
      <c r="H281" s="11" t="str">
        <f aca="false">IF(G281="","Open","Paid")</f>
        <v>Paid</v>
      </c>
      <c r="I281" s="11" t="n">
        <f aca="false">IF(G281="","",DATEVALUE(G281)-DATEVALUE(C281))</f>
        <v>3</v>
      </c>
      <c r="J281" s="11" t="n">
        <f aca="true">IF(G281="",TODAY()-DATEVALUE(D281),DATEVALUE(G281)-DATEVALUE(D281))</f>
        <v>-27</v>
      </c>
      <c r="K281" s="11" t="str">
        <f aca="false">IF(J281&lt;=0,"Current",IF(J281&lt;=30,"1-30 days",IF(J281&lt;=60,"31-60 days",IF(J281&lt;=90,"61-90 days","90+ days"))))</f>
        <v>Current</v>
      </c>
    </row>
    <row r="282" customFormat="false" ht="15" hidden="false" customHeight="false" outlineLevel="0" collapsed="false">
      <c r="A282" s="10" t="s">
        <v>694</v>
      </c>
      <c r="B282" s="10" t="s">
        <v>351</v>
      </c>
      <c r="C282" s="10" t="s">
        <v>62</v>
      </c>
      <c r="D282" s="10" t="s">
        <v>427</v>
      </c>
      <c r="E282" s="10" t="n">
        <v>30</v>
      </c>
      <c r="F282" s="10" t="n">
        <v>5340.12</v>
      </c>
      <c r="G282" s="10"/>
      <c r="H282" s="11" t="str">
        <f aca="false">IF(G282="","Open","Paid")</f>
        <v>Open</v>
      </c>
      <c r="I282" s="11" t="str">
        <f aca="false">IF(G282="","",DATEVALUE(G282)-DATEVALUE(C282))</f>
        <v/>
      </c>
      <c r="J282" s="11" t="n">
        <f aca="true">IF(G282="",TODAY()-DATEVALUE(D282),DATEVALUE(G282)-DATEVALUE(D282))</f>
        <v>-12</v>
      </c>
      <c r="K282" s="11" t="str">
        <f aca="false">IF(J282&lt;=0,"Current",IF(J282&lt;=30,"1-30 days",IF(J282&lt;=60,"31-60 days",IF(J282&lt;=90,"61-90 days","90+ days"))))</f>
        <v>Current</v>
      </c>
    </row>
    <row r="283" customFormat="false" ht="15" hidden="false" customHeight="false" outlineLevel="0" collapsed="false">
      <c r="A283" s="10" t="s">
        <v>695</v>
      </c>
      <c r="B283" s="10" t="s">
        <v>303</v>
      </c>
      <c r="C283" s="10" t="s">
        <v>380</v>
      </c>
      <c r="D283" s="10" t="s">
        <v>178</v>
      </c>
      <c r="E283" s="10" t="n">
        <v>30</v>
      </c>
      <c r="F283" s="10" t="n">
        <v>10565.07</v>
      </c>
      <c r="G283" s="10" t="s">
        <v>301</v>
      </c>
      <c r="H283" s="11" t="str">
        <f aca="false">IF(G283="","Open","Paid")</f>
        <v>Paid</v>
      </c>
      <c r="I283" s="11" t="n">
        <f aca="false">IF(G283="","",DATEVALUE(G283)-DATEVALUE(C283))</f>
        <v>8</v>
      </c>
      <c r="J283" s="11" t="n">
        <f aca="true">IF(G283="",TODAY()-DATEVALUE(D283),DATEVALUE(G283)-DATEVALUE(D283))</f>
        <v>-22</v>
      </c>
      <c r="K283" s="11" t="str">
        <f aca="false">IF(J283&lt;=0,"Current",IF(J283&lt;=30,"1-30 days",IF(J283&lt;=60,"31-60 days",IF(J283&lt;=90,"61-90 days","90+ days"))))</f>
        <v>Current</v>
      </c>
    </row>
    <row r="284" customFormat="false" ht="15" hidden="false" customHeight="false" outlineLevel="0" collapsed="false">
      <c r="A284" s="10" t="s">
        <v>696</v>
      </c>
      <c r="B284" s="10" t="s">
        <v>278</v>
      </c>
      <c r="C284" s="10" t="s">
        <v>658</v>
      </c>
      <c r="D284" s="10" t="s">
        <v>95</v>
      </c>
      <c r="E284" s="10" t="n">
        <v>30</v>
      </c>
      <c r="F284" s="10" t="n">
        <v>342.49</v>
      </c>
      <c r="G284" s="10" t="s">
        <v>380</v>
      </c>
      <c r="H284" s="11" t="str">
        <f aca="false">IF(G284="","Open","Paid")</f>
        <v>Paid</v>
      </c>
      <c r="I284" s="11" t="n">
        <f aca="false">IF(G284="","",DATEVALUE(G284)-DATEVALUE(C284))</f>
        <v>20</v>
      </c>
      <c r="J284" s="11" t="n">
        <f aca="true">IF(G284="",TODAY()-DATEVALUE(D284),DATEVALUE(G284)-DATEVALUE(D284))</f>
        <v>-10</v>
      </c>
      <c r="K284" s="11" t="str">
        <f aca="false">IF(J284&lt;=0,"Current",IF(J284&lt;=30,"1-30 days",IF(J284&lt;=60,"31-60 days",IF(J284&lt;=90,"61-90 days","90+ days"))))</f>
        <v>Current</v>
      </c>
    </row>
    <row r="285" customFormat="false" ht="15" hidden="false" customHeight="false" outlineLevel="0" collapsed="false">
      <c r="A285" s="10" t="s">
        <v>697</v>
      </c>
      <c r="B285" s="10" t="s">
        <v>28</v>
      </c>
      <c r="C285" s="10" t="s">
        <v>434</v>
      </c>
      <c r="D285" s="10" t="s">
        <v>523</v>
      </c>
      <c r="E285" s="10" t="n">
        <v>45</v>
      </c>
      <c r="F285" s="10" t="n">
        <v>4332.11</v>
      </c>
      <c r="G285" s="10" t="s">
        <v>183</v>
      </c>
      <c r="H285" s="11" t="str">
        <f aca="false">IF(G285="","Open","Paid")</f>
        <v>Paid</v>
      </c>
      <c r="I285" s="11" t="n">
        <f aca="false">IF(G285="","",DATEVALUE(G285)-DATEVALUE(C285))</f>
        <v>89</v>
      </c>
      <c r="J285" s="11" t="n">
        <f aca="true">IF(G285="",TODAY()-DATEVALUE(D285),DATEVALUE(G285)-DATEVALUE(D285))</f>
        <v>44</v>
      </c>
      <c r="K285" s="11" t="str">
        <f aca="false">IF(J285&lt;=0,"Current",IF(J285&lt;=30,"1-30 days",IF(J285&lt;=60,"31-60 days",IF(J285&lt;=90,"61-90 days","90+ days"))))</f>
        <v>31-60 days</v>
      </c>
    </row>
    <row r="286" customFormat="false" ht="15" hidden="false" customHeight="false" outlineLevel="0" collapsed="false">
      <c r="A286" s="10" t="s">
        <v>698</v>
      </c>
      <c r="B286" s="10" t="s">
        <v>487</v>
      </c>
      <c r="C286" s="10" t="s">
        <v>134</v>
      </c>
      <c r="D286" s="10" t="s">
        <v>462</v>
      </c>
      <c r="E286" s="10" t="n">
        <v>30</v>
      </c>
      <c r="F286" s="10" t="n">
        <v>5082.2</v>
      </c>
      <c r="G286" s="10" t="s">
        <v>323</v>
      </c>
      <c r="H286" s="11" t="str">
        <f aca="false">IF(G286="","Open","Paid")</f>
        <v>Paid</v>
      </c>
      <c r="I286" s="11" t="n">
        <f aca="false">IF(G286="","",DATEVALUE(G286)-DATEVALUE(C286))</f>
        <v>19</v>
      </c>
      <c r="J286" s="11" t="n">
        <f aca="true">IF(G286="",TODAY()-DATEVALUE(D286),DATEVALUE(G286)-DATEVALUE(D286))</f>
        <v>-11</v>
      </c>
      <c r="K286" s="11" t="str">
        <f aca="false">IF(J286&lt;=0,"Current",IF(J286&lt;=30,"1-30 days",IF(J286&lt;=60,"31-60 days",IF(J286&lt;=90,"61-90 days","90+ days"))))</f>
        <v>Current</v>
      </c>
    </row>
    <row r="287" customFormat="false" ht="15" hidden="false" customHeight="false" outlineLevel="0" collapsed="false">
      <c r="A287" s="10" t="s">
        <v>699</v>
      </c>
      <c r="B287" s="10" t="s">
        <v>82</v>
      </c>
      <c r="C287" s="10" t="s">
        <v>429</v>
      </c>
      <c r="D287" s="10" t="s">
        <v>536</v>
      </c>
      <c r="E287" s="10" t="n">
        <v>30</v>
      </c>
      <c r="F287" s="10" t="n">
        <v>2262.16</v>
      </c>
      <c r="G287" s="10" t="s">
        <v>471</v>
      </c>
      <c r="H287" s="11" t="str">
        <f aca="false">IF(G287="","Open","Paid")</f>
        <v>Paid</v>
      </c>
      <c r="I287" s="11" t="n">
        <f aca="false">IF(G287="","",DATEVALUE(G287)-DATEVALUE(C287))</f>
        <v>54</v>
      </c>
      <c r="J287" s="11" t="n">
        <f aca="true">IF(G287="",TODAY()-DATEVALUE(D287),DATEVALUE(G287)-DATEVALUE(D287))</f>
        <v>24</v>
      </c>
      <c r="K287" s="11" t="str">
        <f aca="false">IF(J287&lt;=0,"Current",IF(J287&lt;=30,"1-30 days",IF(J287&lt;=60,"31-60 days",IF(J287&lt;=90,"61-90 days","90+ days"))))</f>
        <v>1-30 days</v>
      </c>
    </row>
    <row r="288" customFormat="false" ht="15" hidden="false" customHeight="false" outlineLevel="0" collapsed="false">
      <c r="A288" s="10" t="s">
        <v>700</v>
      </c>
      <c r="B288" s="10" t="s">
        <v>315</v>
      </c>
      <c r="C288" s="10" t="s">
        <v>701</v>
      </c>
      <c r="D288" s="10" t="s">
        <v>235</v>
      </c>
      <c r="E288" s="10" t="n">
        <v>45</v>
      </c>
      <c r="F288" s="10" t="n">
        <v>2579.92</v>
      </c>
      <c r="G288" s="10"/>
      <c r="H288" s="11" t="str">
        <f aca="false">IF(G288="","Open","Paid")</f>
        <v>Open</v>
      </c>
      <c r="I288" s="11" t="str">
        <f aca="false">IF(G288="","",DATEVALUE(G288)-DATEVALUE(C288))</f>
        <v/>
      </c>
      <c r="J288" s="11" t="n">
        <f aca="true">IF(G288="",TODAY()-DATEVALUE(D288),DATEVALUE(G288)-DATEVALUE(D288))</f>
        <v>-25</v>
      </c>
      <c r="K288" s="11" t="str">
        <f aca="false">IF(J288&lt;=0,"Current",IF(J288&lt;=30,"1-30 days",IF(J288&lt;=60,"31-60 days",IF(J288&lt;=90,"61-90 days","90+ days"))))</f>
        <v>Current</v>
      </c>
    </row>
    <row r="289" customFormat="false" ht="15" hidden="false" customHeight="false" outlineLevel="0" collapsed="false">
      <c r="A289" s="10" t="s">
        <v>702</v>
      </c>
      <c r="B289" s="10" t="s">
        <v>147</v>
      </c>
      <c r="C289" s="10" t="s">
        <v>512</v>
      </c>
      <c r="D289" s="10" t="s">
        <v>434</v>
      </c>
      <c r="E289" s="10" t="n">
        <v>45</v>
      </c>
      <c r="F289" s="10" t="n">
        <v>10583.9</v>
      </c>
      <c r="G289" s="10" t="s">
        <v>703</v>
      </c>
      <c r="H289" s="11" t="str">
        <f aca="false">IF(G289="","Open","Paid")</f>
        <v>Paid</v>
      </c>
      <c r="I289" s="11" t="n">
        <f aca="false">IF(G289="","",DATEVALUE(G289)-DATEVALUE(C289))</f>
        <v>47</v>
      </c>
      <c r="J289" s="11" t="n">
        <f aca="true">IF(G289="",TODAY()-DATEVALUE(D289),DATEVALUE(G289)-DATEVALUE(D289))</f>
        <v>2</v>
      </c>
      <c r="K289" s="11" t="str">
        <f aca="false">IF(J289&lt;=0,"Current",IF(J289&lt;=30,"1-30 days",IF(J289&lt;=60,"31-60 days",IF(J289&lt;=90,"61-90 days","90+ days"))))</f>
        <v>1-30 days</v>
      </c>
    </row>
    <row r="290" customFormat="false" ht="15" hidden="false" customHeight="false" outlineLevel="0" collapsed="false">
      <c r="A290" s="10" t="s">
        <v>704</v>
      </c>
      <c r="B290" s="10" t="s">
        <v>180</v>
      </c>
      <c r="C290" s="10" t="s">
        <v>100</v>
      </c>
      <c r="D290" s="10" t="s">
        <v>705</v>
      </c>
      <c r="E290" s="10" t="n">
        <v>30</v>
      </c>
      <c r="F290" s="10" t="n">
        <v>6290.84</v>
      </c>
      <c r="G290" s="10" t="s">
        <v>348</v>
      </c>
      <c r="H290" s="11" t="str">
        <f aca="false">IF(G290="","Open","Paid")</f>
        <v>Paid</v>
      </c>
      <c r="I290" s="11" t="n">
        <f aca="false">IF(G290="","",DATEVALUE(G290)-DATEVALUE(C290))</f>
        <v>8</v>
      </c>
      <c r="J290" s="11" t="n">
        <f aca="true">IF(G290="",TODAY()-DATEVALUE(D290),DATEVALUE(G290)-DATEVALUE(D290))</f>
        <v>-22</v>
      </c>
      <c r="K290" s="11" t="str">
        <f aca="false">IF(J290&lt;=0,"Current",IF(J290&lt;=30,"1-30 days",IF(J290&lt;=60,"31-60 days",IF(J290&lt;=90,"61-90 days","90+ days"))))</f>
        <v>Current</v>
      </c>
    </row>
    <row r="291" customFormat="false" ht="15" hidden="false" customHeight="false" outlineLevel="0" collapsed="false">
      <c r="A291" s="10" t="s">
        <v>706</v>
      </c>
      <c r="B291" s="10" t="s">
        <v>92</v>
      </c>
      <c r="C291" s="10" t="s">
        <v>190</v>
      </c>
      <c r="D291" s="10" t="s">
        <v>477</v>
      </c>
      <c r="E291" s="10" t="n">
        <v>30</v>
      </c>
      <c r="F291" s="10" t="n">
        <v>12618.69</v>
      </c>
      <c r="G291" s="10" t="s">
        <v>62</v>
      </c>
      <c r="H291" s="11" t="str">
        <f aca="false">IF(G291="","Open","Paid")</f>
        <v>Paid</v>
      </c>
      <c r="I291" s="11" t="n">
        <f aca="false">IF(G291="","",DATEVALUE(G291)-DATEVALUE(C291))</f>
        <v>22</v>
      </c>
      <c r="J291" s="11" t="n">
        <f aca="true">IF(G291="",TODAY()-DATEVALUE(D291),DATEVALUE(G291)-DATEVALUE(D291))</f>
        <v>-8</v>
      </c>
      <c r="K291" s="11" t="str">
        <f aca="false">IF(J291&lt;=0,"Current",IF(J291&lt;=30,"1-30 days",IF(J291&lt;=60,"31-60 days",IF(J291&lt;=90,"61-90 days","90+ days"))))</f>
        <v>Current</v>
      </c>
    </row>
    <row r="292" customFormat="false" ht="15" hidden="false" customHeight="false" outlineLevel="0" collapsed="false">
      <c r="A292" s="10" t="s">
        <v>707</v>
      </c>
      <c r="B292" s="10" t="s">
        <v>603</v>
      </c>
      <c r="C292" s="10" t="s">
        <v>161</v>
      </c>
      <c r="D292" s="10" t="s">
        <v>192</v>
      </c>
      <c r="E292" s="10" t="n">
        <v>60</v>
      </c>
      <c r="F292" s="10" t="n">
        <v>4283.3</v>
      </c>
      <c r="G292" s="10" t="s">
        <v>57</v>
      </c>
      <c r="H292" s="11" t="str">
        <f aca="false">IF(G292="","Open","Paid")</f>
        <v>Paid</v>
      </c>
      <c r="I292" s="11" t="n">
        <f aca="false">IF(G292="","",DATEVALUE(G292)-DATEVALUE(C292))</f>
        <v>62</v>
      </c>
      <c r="J292" s="11" t="n">
        <f aca="true">IF(G292="",TODAY()-DATEVALUE(D292),DATEVALUE(G292)-DATEVALUE(D292))</f>
        <v>2</v>
      </c>
      <c r="K292" s="11" t="str">
        <f aca="false">IF(J292&lt;=0,"Current",IF(J292&lt;=30,"1-30 days",IF(J292&lt;=60,"31-60 days",IF(J292&lt;=90,"61-90 days","90+ days"))))</f>
        <v>1-30 days</v>
      </c>
    </row>
    <row r="293" customFormat="false" ht="15" hidden="false" customHeight="false" outlineLevel="0" collapsed="false">
      <c r="A293" s="10" t="s">
        <v>708</v>
      </c>
      <c r="B293" s="10" t="s">
        <v>82</v>
      </c>
      <c r="C293" s="10" t="s">
        <v>666</v>
      </c>
      <c r="D293" s="10" t="s">
        <v>709</v>
      </c>
      <c r="E293" s="10" t="n">
        <v>45</v>
      </c>
      <c r="F293" s="10" t="n">
        <v>1734.15</v>
      </c>
      <c r="G293" s="10"/>
      <c r="H293" s="11" t="str">
        <f aca="false">IF(G293="","Open","Paid")</f>
        <v>Open</v>
      </c>
      <c r="I293" s="11" t="str">
        <f aca="false">IF(G293="","",DATEVALUE(G293)-DATEVALUE(C293))</f>
        <v/>
      </c>
      <c r="J293" s="11" t="n">
        <f aca="true">IF(G293="",TODAY()-DATEVALUE(D293),DATEVALUE(G293)-DATEVALUE(D293))</f>
        <v>-24</v>
      </c>
      <c r="K293" s="11" t="str">
        <f aca="false">IF(J293&lt;=0,"Current",IF(J293&lt;=30,"1-30 days",IF(J293&lt;=60,"31-60 days",IF(J293&lt;=90,"61-90 days","90+ days"))))</f>
        <v>Current</v>
      </c>
    </row>
    <row r="294" customFormat="false" ht="15" hidden="false" customHeight="false" outlineLevel="0" collapsed="false">
      <c r="A294" s="10" t="s">
        <v>710</v>
      </c>
      <c r="B294" s="10" t="s">
        <v>42</v>
      </c>
      <c r="C294" s="10" t="s">
        <v>442</v>
      </c>
      <c r="D294" s="10" t="s">
        <v>466</v>
      </c>
      <c r="E294" s="10" t="n">
        <v>45</v>
      </c>
      <c r="F294" s="10" t="n">
        <v>3909.27</v>
      </c>
      <c r="G294" s="10" t="s">
        <v>24</v>
      </c>
      <c r="H294" s="11" t="str">
        <f aca="false">IF(G294="","Open","Paid")</f>
        <v>Paid</v>
      </c>
      <c r="I294" s="11" t="n">
        <f aca="false">IF(G294="","",DATEVALUE(G294)-DATEVALUE(C294))</f>
        <v>55</v>
      </c>
      <c r="J294" s="11" t="n">
        <f aca="true">IF(G294="",TODAY()-DATEVALUE(D294),DATEVALUE(G294)-DATEVALUE(D294))</f>
        <v>10</v>
      </c>
      <c r="K294" s="11" t="str">
        <f aca="false">IF(J294&lt;=0,"Current",IF(J294&lt;=30,"1-30 days",IF(J294&lt;=60,"31-60 days",IF(J294&lt;=90,"61-90 days","90+ days"))))</f>
        <v>1-30 days</v>
      </c>
    </row>
    <row r="295" customFormat="false" ht="15" hidden="false" customHeight="false" outlineLevel="0" collapsed="false">
      <c r="A295" s="10" t="s">
        <v>711</v>
      </c>
      <c r="B295" s="10" t="s">
        <v>147</v>
      </c>
      <c r="C295" s="10" t="s">
        <v>178</v>
      </c>
      <c r="D295" s="10" t="s">
        <v>305</v>
      </c>
      <c r="E295" s="10" t="n">
        <v>60</v>
      </c>
      <c r="F295" s="10" t="n">
        <v>3495.02</v>
      </c>
      <c r="G295" s="10"/>
      <c r="H295" s="11" t="str">
        <f aca="false">IF(G295="","Open","Paid")</f>
        <v>Open</v>
      </c>
      <c r="I295" s="11" t="str">
        <f aca="false">IF(G295="","",DATEVALUE(G295)-DATEVALUE(C295))</f>
        <v/>
      </c>
      <c r="J295" s="11" t="n">
        <f aca="true">IF(G295="",TODAY()-DATEVALUE(D295),DATEVALUE(G295)-DATEVALUE(D295))</f>
        <v>-21</v>
      </c>
      <c r="K295" s="11" t="str">
        <f aca="false">IF(J295&lt;=0,"Current",IF(J295&lt;=30,"1-30 days",IF(J295&lt;=60,"31-60 days",IF(J295&lt;=90,"61-90 days","90+ days"))))</f>
        <v>Current</v>
      </c>
    </row>
    <row r="296" customFormat="false" ht="15" hidden="false" customHeight="false" outlineLevel="0" collapsed="false">
      <c r="A296" s="10" t="s">
        <v>712</v>
      </c>
      <c r="B296" s="10" t="s">
        <v>366</v>
      </c>
      <c r="C296" s="10" t="s">
        <v>160</v>
      </c>
      <c r="D296" s="10" t="s">
        <v>339</v>
      </c>
      <c r="E296" s="10" t="n">
        <v>45</v>
      </c>
      <c r="F296" s="10" t="n">
        <v>7145.13</v>
      </c>
      <c r="G296" s="10" t="s">
        <v>78</v>
      </c>
      <c r="H296" s="11" t="str">
        <f aca="false">IF(G296="","Open","Paid")</f>
        <v>Paid</v>
      </c>
      <c r="I296" s="11" t="n">
        <f aca="false">IF(G296="","",DATEVALUE(G296)-DATEVALUE(C296))</f>
        <v>73</v>
      </c>
      <c r="J296" s="11" t="n">
        <f aca="true">IF(G296="",TODAY()-DATEVALUE(D296),DATEVALUE(G296)-DATEVALUE(D296))</f>
        <v>28</v>
      </c>
      <c r="K296" s="11" t="str">
        <f aca="false">IF(J296&lt;=0,"Current",IF(J296&lt;=30,"1-30 days",IF(J296&lt;=60,"31-60 days",IF(J296&lt;=90,"61-90 days","90+ days"))))</f>
        <v>1-30 days</v>
      </c>
    </row>
    <row r="297" customFormat="false" ht="15" hidden="false" customHeight="false" outlineLevel="0" collapsed="false">
      <c r="A297" s="10" t="s">
        <v>713</v>
      </c>
      <c r="B297" s="10" t="s">
        <v>452</v>
      </c>
      <c r="C297" s="10" t="s">
        <v>395</v>
      </c>
      <c r="D297" s="10" t="s">
        <v>396</v>
      </c>
      <c r="E297" s="10" t="n">
        <v>30</v>
      </c>
      <c r="F297" s="10" t="n">
        <v>6981.91</v>
      </c>
      <c r="G297" s="10" t="s">
        <v>443</v>
      </c>
      <c r="H297" s="11" t="str">
        <f aca="false">IF(G297="","Open","Paid")</f>
        <v>Paid</v>
      </c>
      <c r="I297" s="11" t="n">
        <f aca="false">IF(G297="","",DATEVALUE(G297)-DATEVALUE(C297))</f>
        <v>22</v>
      </c>
      <c r="J297" s="11" t="n">
        <f aca="true">IF(G297="",TODAY()-DATEVALUE(D297),DATEVALUE(G297)-DATEVALUE(D297))</f>
        <v>-8</v>
      </c>
      <c r="K297" s="11" t="str">
        <f aca="false">IF(J297&lt;=0,"Current",IF(J297&lt;=30,"1-30 days",IF(J297&lt;=60,"31-60 days",IF(J297&lt;=90,"61-90 days","90+ days"))))</f>
        <v>Current</v>
      </c>
    </row>
    <row r="298" customFormat="false" ht="15" hidden="false" customHeight="false" outlineLevel="0" collapsed="false">
      <c r="A298" s="10" t="s">
        <v>714</v>
      </c>
      <c r="B298" s="10" t="s">
        <v>87</v>
      </c>
      <c r="C298" s="10" t="s">
        <v>715</v>
      </c>
      <c r="D298" s="10" t="s">
        <v>484</v>
      </c>
      <c r="E298" s="10" t="n">
        <v>30</v>
      </c>
      <c r="F298" s="10" t="n">
        <v>6472.04</v>
      </c>
      <c r="G298" s="10" t="s">
        <v>128</v>
      </c>
      <c r="H298" s="11" t="str">
        <f aca="false">IF(G298="","Open","Paid")</f>
        <v>Paid</v>
      </c>
      <c r="I298" s="11" t="n">
        <f aca="false">IF(G298="","",DATEVALUE(G298)-DATEVALUE(C298))</f>
        <v>31</v>
      </c>
      <c r="J298" s="11" t="n">
        <f aca="true">IF(G298="",TODAY()-DATEVALUE(D298),DATEVALUE(G298)-DATEVALUE(D298))</f>
        <v>1</v>
      </c>
      <c r="K298" s="11" t="str">
        <f aca="false">IF(J298&lt;=0,"Current",IF(J298&lt;=30,"1-30 days",IF(J298&lt;=60,"31-60 days",IF(J298&lt;=90,"61-90 days","90+ days"))))</f>
        <v>1-30 days</v>
      </c>
    </row>
    <row r="299" customFormat="false" ht="15" hidden="false" customHeight="false" outlineLevel="0" collapsed="false">
      <c r="A299" s="10" t="s">
        <v>716</v>
      </c>
      <c r="B299" s="10" t="s">
        <v>293</v>
      </c>
      <c r="C299" s="10" t="s">
        <v>466</v>
      </c>
      <c r="D299" s="10" t="s">
        <v>58</v>
      </c>
      <c r="E299" s="10" t="n">
        <v>30</v>
      </c>
      <c r="F299" s="10" t="n">
        <v>14789.64</v>
      </c>
      <c r="G299" s="10" t="s">
        <v>717</v>
      </c>
      <c r="H299" s="11" t="str">
        <f aca="false">IF(G299="","Open","Paid")</f>
        <v>Paid</v>
      </c>
      <c r="I299" s="11" t="n">
        <f aca="false">IF(G299="","",DATEVALUE(G299)-DATEVALUE(C299))</f>
        <v>22</v>
      </c>
      <c r="J299" s="11" t="n">
        <f aca="true">IF(G299="",TODAY()-DATEVALUE(D299),DATEVALUE(G299)-DATEVALUE(D299))</f>
        <v>-8</v>
      </c>
      <c r="K299" s="11" t="str">
        <f aca="false">IF(J299&lt;=0,"Current",IF(J299&lt;=30,"1-30 days",IF(J299&lt;=60,"31-60 days",IF(J299&lt;=90,"61-90 days","90+ days"))))</f>
        <v>Current</v>
      </c>
    </row>
    <row r="300" customFormat="false" ht="15" hidden="false" customHeight="false" outlineLevel="0" collapsed="false">
      <c r="A300" s="10" t="s">
        <v>718</v>
      </c>
      <c r="B300" s="10" t="s">
        <v>167</v>
      </c>
      <c r="C300" s="10" t="s">
        <v>133</v>
      </c>
      <c r="D300" s="10" t="s">
        <v>117</v>
      </c>
      <c r="E300" s="10" t="n">
        <v>45</v>
      </c>
      <c r="F300" s="10" t="n">
        <v>9542.21</v>
      </c>
      <c r="G300" s="10" t="s">
        <v>239</v>
      </c>
      <c r="H300" s="11" t="str">
        <f aca="false">IF(G300="","Open","Paid")</f>
        <v>Paid</v>
      </c>
      <c r="I300" s="11" t="n">
        <f aca="false">IF(G300="","",DATEVALUE(G300)-DATEVALUE(C300))</f>
        <v>41</v>
      </c>
      <c r="J300" s="11" t="n">
        <f aca="true">IF(G300="",TODAY()-DATEVALUE(D300),DATEVALUE(G300)-DATEVALUE(D300))</f>
        <v>-4</v>
      </c>
      <c r="K300" s="11" t="str">
        <f aca="false">IF(J300&lt;=0,"Current",IF(J300&lt;=30,"1-30 days",IF(J300&lt;=60,"31-60 days",IF(J300&lt;=90,"61-90 days","90+ days"))))</f>
        <v>Current</v>
      </c>
    </row>
    <row r="301" customFormat="false" ht="15" hidden="false" customHeight="false" outlineLevel="0" collapsed="false">
      <c r="A301" s="10" t="s">
        <v>719</v>
      </c>
      <c r="B301" s="10" t="s">
        <v>652</v>
      </c>
      <c r="C301" s="10" t="s">
        <v>720</v>
      </c>
      <c r="D301" s="10" t="s">
        <v>186</v>
      </c>
      <c r="E301" s="10" t="n">
        <v>60</v>
      </c>
      <c r="F301" s="10" t="n">
        <v>2705.62</v>
      </c>
      <c r="G301" s="10" t="s">
        <v>721</v>
      </c>
      <c r="H301" s="11" t="str">
        <f aca="false">IF(G301="","Open","Paid")</f>
        <v>Paid</v>
      </c>
      <c r="I301" s="11" t="n">
        <f aca="false">IF(G301="","",DATEVALUE(G301)-DATEVALUE(C301))</f>
        <v>57</v>
      </c>
      <c r="J301" s="11" t="n">
        <f aca="true">IF(G301="",TODAY()-DATEVALUE(D301),DATEVALUE(G301)-DATEVALUE(D301))</f>
        <v>-3</v>
      </c>
      <c r="K301" s="11" t="str">
        <f aca="false">IF(J301&lt;=0,"Current",IF(J301&lt;=30,"1-30 days",IF(J301&lt;=60,"31-60 days",IF(J301&lt;=90,"61-90 days","90+ days"))))</f>
        <v>Current</v>
      </c>
    </row>
    <row r="302" customFormat="false" ht="15" hidden="false" customHeight="false" outlineLevel="0" collapsed="false">
      <c r="A302" s="10" t="s">
        <v>722</v>
      </c>
      <c r="B302" s="10" t="s">
        <v>568</v>
      </c>
      <c r="C302" s="10" t="s">
        <v>133</v>
      </c>
      <c r="D302" s="10" t="s">
        <v>39</v>
      </c>
      <c r="E302" s="10" t="n">
        <v>30</v>
      </c>
      <c r="F302" s="10" t="n">
        <v>8361.01</v>
      </c>
      <c r="G302" s="10" t="s">
        <v>339</v>
      </c>
      <c r="H302" s="11" t="str">
        <f aca="false">IF(G302="","Open","Paid")</f>
        <v>Paid</v>
      </c>
      <c r="I302" s="11" t="n">
        <f aca="false">IF(G302="","",DATEVALUE(G302)-DATEVALUE(C302))</f>
        <v>21</v>
      </c>
      <c r="J302" s="11" t="n">
        <f aca="true">IF(G302="",TODAY()-DATEVALUE(D302),DATEVALUE(G302)-DATEVALUE(D302))</f>
        <v>-9</v>
      </c>
      <c r="K302" s="11" t="str">
        <f aca="false">IF(J302&lt;=0,"Current",IF(J302&lt;=30,"1-30 days",IF(J302&lt;=60,"31-60 days",IF(J302&lt;=90,"61-90 days","90+ days"))))</f>
        <v>Current</v>
      </c>
    </row>
    <row r="303" customFormat="false" ht="15" hidden="false" customHeight="false" outlineLevel="0" collapsed="false">
      <c r="A303" s="10" t="s">
        <v>723</v>
      </c>
      <c r="B303" s="10" t="s">
        <v>23</v>
      </c>
      <c r="C303" s="10" t="s">
        <v>408</v>
      </c>
      <c r="D303" s="10" t="s">
        <v>666</v>
      </c>
      <c r="E303" s="10" t="n">
        <v>30</v>
      </c>
      <c r="F303" s="10" t="n">
        <v>4882.84</v>
      </c>
      <c r="G303" s="10" t="s">
        <v>508</v>
      </c>
      <c r="H303" s="11" t="str">
        <f aca="false">IF(G303="","Open","Paid")</f>
        <v>Paid</v>
      </c>
      <c r="I303" s="11" t="n">
        <f aca="false">IF(G303="","",DATEVALUE(G303)-DATEVALUE(C303))</f>
        <v>35</v>
      </c>
      <c r="J303" s="11" t="n">
        <f aca="true">IF(G303="",TODAY()-DATEVALUE(D303),DATEVALUE(G303)-DATEVALUE(D303))</f>
        <v>5</v>
      </c>
      <c r="K303" s="11" t="str">
        <f aca="false">IF(J303&lt;=0,"Current",IF(J303&lt;=30,"1-30 days",IF(J303&lt;=60,"31-60 days",IF(J303&lt;=90,"61-90 days","90+ days"))))</f>
        <v>1-30 days</v>
      </c>
    </row>
    <row r="304" customFormat="false" ht="15" hidden="false" customHeight="false" outlineLevel="0" collapsed="false">
      <c r="A304" s="10" t="s">
        <v>724</v>
      </c>
      <c r="B304" s="10" t="s">
        <v>452</v>
      </c>
      <c r="C304" s="10" t="s">
        <v>313</v>
      </c>
      <c r="D304" s="10" t="s">
        <v>398</v>
      </c>
      <c r="E304" s="10" t="n">
        <v>30</v>
      </c>
      <c r="F304" s="10" t="n">
        <v>4210.4</v>
      </c>
      <c r="G304" s="10" t="s">
        <v>65</v>
      </c>
      <c r="H304" s="11" t="str">
        <f aca="false">IF(G304="","Open","Paid")</f>
        <v>Paid</v>
      </c>
      <c r="I304" s="11" t="n">
        <f aca="false">IF(G304="","",DATEVALUE(G304)-DATEVALUE(C304))</f>
        <v>32</v>
      </c>
      <c r="J304" s="11" t="n">
        <f aca="true">IF(G304="",TODAY()-DATEVALUE(D304),DATEVALUE(G304)-DATEVALUE(D304))</f>
        <v>2</v>
      </c>
      <c r="K304" s="11" t="str">
        <f aca="false">IF(J304&lt;=0,"Current",IF(J304&lt;=30,"1-30 days",IF(J304&lt;=60,"31-60 days",IF(J304&lt;=90,"61-90 days","90+ days"))))</f>
        <v>1-30 days</v>
      </c>
    </row>
    <row r="305" customFormat="false" ht="15" hidden="false" customHeight="false" outlineLevel="0" collapsed="false">
      <c r="A305" s="10" t="s">
        <v>725</v>
      </c>
      <c r="B305" s="10" t="s">
        <v>265</v>
      </c>
      <c r="C305" s="10" t="s">
        <v>268</v>
      </c>
      <c r="D305" s="10" t="s">
        <v>196</v>
      </c>
      <c r="E305" s="10" t="n">
        <v>60</v>
      </c>
      <c r="F305" s="10" t="n">
        <v>10208.93</v>
      </c>
      <c r="G305" s="10" t="s">
        <v>30</v>
      </c>
      <c r="H305" s="11" t="str">
        <f aca="false">IF(G305="","Open","Paid")</f>
        <v>Paid</v>
      </c>
      <c r="I305" s="11" t="n">
        <f aca="false">IF(G305="","",DATEVALUE(G305)-DATEVALUE(C305))</f>
        <v>58</v>
      </c>
      <c r="J305" s="11" t="n">
        <f aca="true">IF(G305="",TODAY()-DATEVALUE(D305),DATEVALUE(G305)-DATEVALUE(D305))</f>
        <v>-2</v>
      </c>
      <c r="K305" s="11" t="str">
        <f aca="false">IF(J305&lt;=0,"Current",IF(J305&lt;=30,"1-30 days",IF(J305&lt;=60,"31-60 days",IF(J305&lt;=90,"61-90 days","90+ days"))))</f>
        <v>Current</v>
      </c>
    </row>
    <row r="306" customFormat="false" ht="15" hidden="false" customHeight="false" outlineLevel="0" collapsed="false">
      <c r="A306" s="10" t="s">
        <v>726</v>
      </c>
      <c r="B306" s="10" t="s">
        <v>102</v>
      </c>
      <c r="C306" s="10" t="s">
        <v>34</v>
      </c>
      <c r="D306" s="10" t="s">
        <v>35</v>
      </c>
      <c r="E306" s="10" t="n">
        <v>30</v>
      </c>
      <c r="F306" s="10" t="n">
        <v>2588.44</v>
      </c>
      <c r="G306" s="10" t="s">
        <v>572</v>
      </c>
      <c r="H306" s="11" t="str">
        <f aca="false">IF(G306="","Open","Paid")</f>
        <v>Paid</v>
      </c>
      <c r="I306" s="11" t="n">
        <f aca="false">IF(G306="","",DATEVALUE(G306)-DATEVALUE(C306))</f>
        <v>24</v>
      </c>
      <c r="J306" s="11" t="n">
        <f aca="true">IF(G306="",TODAY()-DATEVALUE(D306),DATEVALUE(G306)-DATEVALUE(D306))</f>
        <v>-6</v>
      </c>
      <c r="K306" s="11" t="str">
        <f aca="false">IF(J306&lt;=0,"Current",IF(J306&lt;=30,"1-30 days",IF(J306&lt;=60,"31-60 days",IF(J306&lt;=90,"61-90 days","90+ days"))))</f>
        <v>Current</v>
      </c>
    </row>
    <row r="307" customFormat="false" ht="15" hidden="false" customHeight="false" outlineLevel="0" collapsed="false">
      <c r="A307" s="10" t="s">
        <v>727</v>
      </c>
      <c r="B307" s="10" t="s">
        <v>469</v>
      </c>
      <c r="C307" s="10" t="s">
        <v>343</v>
      </c>
      <c r="D307" s="10" t="s">
        <v>31</v>
      </c>
      <c r="E307" s="10" t="n">
        <v>30</v>
      </c>
      <c r="F307" s="10" t="n">
        <v>8048.64</v>
      </c>
      <c r="G307" s="10" t="s">
        <v>30</v>
      </c>
      <c r="H307" s="11" t="str">
        <f aca="false">IF(G307="","Open","Paid")</f>
        <v>Paid</v>
      </c>
      <c r="I307" s="11" t="n">
        <f aca="false">IF(G307="","",DATEVALUE(G307)-DATEVALUE(C307))</f>
        <v>39</v>
      </c>
      <c r="J307" s="11" t="n">
        <f aca="true">IF(G307="",TODAY()-DATEVALUE(D307),DATEVALUE(G307)-DATEVALUE(D307))</f>
        <v>9</v>
      </c>
      <c r="K307" s="11" t="str">
        <f aca="false">IF(J307&lt;=0,"Current",IF(J307&lt;=30,"1-30 days",IF(J307&lt;=60,"31-60 days",IF(J307&lt;=90,"61-90 days","90+ days"))))</f>
        <v>1-30 days</v>
      </c>
    </row>
    <row r="308" customFormat="false" ht="15" hidden="false" customHeight="false" outlineLevel="0" collapsed="false">
      <c r="A308" s="10" t="s">
        <v>728</v>
      </c>
      <c r="B308" s="10" t="s">
        <v>151</v>
      </c>
      <c r="C308" s="10" t="s">
        <v>173</v>
      </c>
      <c r="D308" s="10" t="s">
        <v>280</v>
      </c>
      <c r="E308" s="10" t="n">
        <v>30</v>
      </c>
      <c r="F308" s="10" t="n">
        <v>7341.69</v>
      </c>
      <c r="G308" s="10" t="s">
        <v>67</v>
      </c>
      <c r="H308" s="11" t="str">
        <f aca="false">IF(G308="","Open","Paid")</f>
        <v>Paid</v>
      </c>
      <c r="I308" s="11" t="n">
        <f aca="false">IF(G308="","",DATEVALUE(G308)-DATEVALUE(C308))</f>
        <v>27</v>
      </c>
      <c r="J308" s="11" t="n">
        <f aca="true">IF(G308="",TODAY()-DATEVALUE(D308),DATEVALUE(G308)-DATEVALUE(D308))</f>
        <v>-3</v>
      </c>
      <c r="K308" s="11" t="str">
        <f aca="false">IF(J308&lt;=0,"Current",IF(J308&lt;=30,"1-30 days",IF(J308&lt;=60,"31-60 days",IF(J308&lt;=90,"61-90 days","90+ days"))))</f>
        <v>Current</v>
      </c>
    </row>
    <row r="309" customFormat="false" ht="15" hidden="false" customHeight="false" outlineLevel="0" collapsed="false">
      <c r="A309" s="10" t="s">
        <v>729</v>
      </c>
      <c r="B309" s="10" t="s">
        <v>64</v>
      </c>
      <c r="C309" s="10" t="s">
        <v>340</v>
      </c>
      <c r="D309" s="10" t="s">
        <v>316</v>
      </c>
      <c r="E309" s="10" t="n">
        <v>30</v>
      </c>
      <c r="F309" s="10" t="n">
        <v>2554.42</v>
      </c>
      <c r="G309" s="10" t="s">
        <v>424</v>
      </c>
      <c r="H309" s="11" t="str">
        <f aca="false">IF(G309="","Open","Paid")</f>
        <v>Paid</v>
      </c>
      <c r="I309" s="11" t="n">
        <f aca="false">IF(G309="","",DATEVALUE(G309)-DATEVALUE(C309))</f>
        <v>26</v>
      </c>
      <c r="J309" s="11" t="n">
        <f aca="true">IF(G309="",TODAY()-DATEVALUE(D309),DATEVALUE(G309)-DATEVALUE(D309))</f>
        <v>-4</v>
      </c>
      <c r="K309" s="11" t="str">
        <f aca="false">IF(J309&lt;=0,"Current",IF(J309&lt;=30,"1-30 days",IF(J309&lt;=60,"31-60 days",IF(J309&lt;=90,"61-90 days","90+ days"))))</f>
        <v>Current</v>
      </c>
    </row>
    <row r="310" customFormat="false" ht="15" hidden="false" customHeight="false" outlineLevel="0" collapsed="false">
      <c r="A310" s="10" t="s">
        <v>730</v>
      </c>
      <c r="B310" s="10" t="s">
        <v>278</v>
      </c>
      <c r="C310" s="10" t="s">
        <v>214</v>
      </c>
      <c r="D310" s="10" t="s">
        <v>380</v>
      </c>
      <c r="E310" s="10" t="n">
        <v>30</v>
      </c>
      <c r="F310" s="10" t="n">
        <v>1419</v>
      </c>
      <c r="G310" s="10" t="s">
        <v>559</v>
      </c>
      <c r="H310" s="11" t="str">
        <f aca="false">IF(G310="","Open","Paid")</f>
        <v>Paid</v>
      </c>
      <c r="I310" s="11" t="n">
        <f aca="false">IF(G310="","",DATEVALUE(G310)-DATEVALUE(C310))</f>
        <v>31</v>
      </c>
      <c r="J310" s="11" t="n">
        <f aca="true">IF(G310="",TODAY()-DATEVALUE(D310),DATEVALUE(G310)-DATEVALUE(D310))</f>
        <v>1</v>
      </c>
      <c r="K310" s="11" t="str">
        <f aca="false">IF(J310&lt;=0,"Current",IF(J310&lt;=30,"1-30 days",IF(J310&lt;=60,"31-60 days",IF(J310&lt;=90,"61-90 days","90+ days"))))</f>
        <v>1-30 days</v>
      </c>
    </row>
    <row r="311" customFormat="false" ht="15" hidden="false" customHeight="false" outlineLevel="0" collapsed="false">
      <c r="A311" s="10" t="s">
        <v>731</v>
      </c>
      <c r="B311" s="10" t="s">
        <v>212</v>
      </c>
      <c r="C311" s="10" t="s">
        <v>225</v>
      </c>
      <c r="D311" s="10" t="s">
        <v>226</v>
      </c>
      <c r="E311" s="10" t="n">
        <v>30</v>
      </c>
      <c r="F311" s="10" t="n">
        <v>4558.87</v>
      </c>
      <c r="G311" s="10" t="s">
        <v>460</v>
      </c>
      <c r="H311" s="11" t="str">
        <f aca="false">IF(G311="","Open","Paid")</f>
        <v>Paid</v>
      </c>
      <c r="I311" s="11" t="n">
        <f aca="false">IF(G311="","",DATEVALUE(G311)-DATEVALUE(C311))</f>
        <v>50</v>
      </c>
      <c r="J311" s="11" t="n">
        <f aca="true">IF(G311="",TODAY()-DATEVALUE(D311),DATEVALUE(G311)-DATEVALUE(D311))</f>
        <v>20</v>
      </c>
      <c r="K311" s="11" t="str">
        <f aca="false">IF(J311&lt;=0,"Current",IF(J311&lt;=30,"1-30 days",IF(J311&lt;=60,"31-60 days",IF(J311&lt;=90,"61-90 days","90+ days"))))</f>
        <v>1-30 days</v>
      </c>
    </row>
    <row r="312" customFormat="false" ht="15" hidden="false" customHeight="false" outlineLevel="0" collapsed="false">
      <c r="A312" s="10" t="s">
        <v>732</v>
      </c>
      <c r="B312" s="10" t="s">
        <v>221</v>
      </c>
      <c r="C312" s="10" t="s">
        <v>186</v>
      </c>
      <c r="D312" s="10" t="s">
        <v>187</v>
      </c>
      <c r="E312" s="10" t="n">
        <v>30</v>
      </c>
      <c r="F312" s="10" t="n">
        <v>299.63</v>
      </c>
      <c r="G312" s="10" t="s">
        <v>705</v>
      </c>
      <c r="H312" s="11" t="str">
        <f aca="false">IF(G312="","Open","Paid")</f>
        <v>Paid</v>
      </c>
      <c r="I312" s="11" t="n">
        <f aca="false">IF(G312="","",DATEVALUE(G312)-DATEVALUE(C312))</f>
        <v>13</v>
      </c>
      <c r="J312" s="11" t="n">
        <f aca="true">IF(G312="",TODAY()-DATEVALUE(D312),DATEVALUE(G312)-DATEVALUE(D312))</f>
        <v>-17</v>
      </c>
      <c r="K312" s="11" t="str">
        <f aca="false">IF(J312&lt;=0,"Current",IF(J312&lt;=30,"1-30 days",IF(J312&lt;=60,"31-60 days",IF(J312&lt;=90,"61-90 days","90+ days"))))</f>
        <v>Current</v>
      </c>
    </row>
    <row r="313" customFormat="false" ht="15" hidden="false" customHeight="false" outlineLevel="0" collapsed="false">
      <c r="A313" s="10" t="s">
        <v>733</v>
      </c>
      <c r="B313" s="10" t="s">
        <v>180</v>
      </c>
      <c r="C313" s="10" t="s">
        <v>429</v>
      </c>
      <c r="D313" s="10" t="s">
        <v>536</v>
      </c>
      <c r="E313" s="10" t="n">
        <v>30</v>
      </c>
      <c r="F313" s="10" t="n">
        <v>8905.84</v>
      </c>
      <c r="G313" s="10" t="s">
        <v>326</v>
      </c>
      <c r="H313" s="11" t="str">
        <f aca="false">IF(G313="","Open","Paid")</f>
        <v>Paid</v>
      </c>
      <c r="I313" s="11" t="n">
        <f aca="false">IF(G313="","",DATEVALUE(G313)-DATEVALUE(C313))</f>
        <v>39</v>
      </c>
      <c r="J313" s="11" t="n">
        <f aca="true">IF(G313="",TODAY()-DATEVALUE(D313),DATEVALUE(G313)-DATEVALUE(D313))</f>
        <v>9</v>
      </c>
      <c r="K313" s="11" t="str">
        <f aca="false">IF(J313&lt;=0,"Current",IF(J313&lt;=30,"1-30 days",IF(J313&lt;=60,"31-60 days",IF(J313&lt;=90,"61-90 days","90+ days"))))</f>
        <v>1-30 days</v>
      </c>
    </row>
    <row r="314" customFormat="false" ht="15" hidden="false" customHeight="false" outlineLevel="0" collapsed="false">
      <c r="A314" s="10" t="s">
        <v>734</v>
      </c>
      <c r="B314" s="10" t="s">
        <v>229</v>
      </c>
      <c r="C314" s="10" t="s">
        <v>638</v>
      </c>
      <c r="D314" s="10" t="s">
        <v>639</v>
      </c>
      <c r="E314" s="10" t="n">
        <v>30</v>
      </c>
      <c r="F314" s="10" t="n">
        <v>5939.85</v>
      </c>
      <c r="G314" s="10" t="s">
        <v>71</v>
      </c>
      <c r="H314" s="11" t="str">
        <f aca="false">IF(G314="","Open","Paid")</f>
        <v>Paid</v>
      </c>
      <c r="I314" s="11" t="n">
        <f aca="false">IF(G314="","",DATEVALUE(G314)-DATEVALUE(C314))</f>
        <v>7</v>
      </c>
      <c r="J314" s="11" t="n">
        <f aca="true">IF(G314="",TODAY()-DATEVALUE(D314),DATEVALUE(G314)-DATEVALUE(D314))</f>
        <v>-23</v>
      </c>
      <c r="K314" s="11" t="str">
        <f aca="false">IF(J314&lt;=0,"Current",IF(J314&lt;=30,"1-30 days",IF(J314&lt;=60,"31-60 days",IF(J314&lt;=90,"61-90 days","90+ days"))))</f>
        <v>Current</v>
      </c>
    </row>
    <row r="315" customFormat="false" ht="15" hidden="false" customHeight="false" outlineLevel="0" collapsed="false">
      <c r="A315" s="10" t="s">
        <v>735</v>
      </c>
      <c r="B315" s="10" t="s">
        <v>55</v>
      </c>
      <c r="C315" s="10" t="s">
        <v>592</v>
      </c>
      <c r="D315" s="10" t="s">
        <v>215</v>
      </c>
      <c r="E315" s="10" t="n">
        <v>30</v>
      </c>
      <c r="F315" s="10" t="n">
        <v>10392.41</v>
      </c>
      <c r="G315" s="10" t="s">
        <v>364</v>
      </c>
      <c r="H315" s="11" t="str">
        <f aca="false">IF(G315="","Open","Paid")</f>
        <v>Paid</v>
      </c>
      <c r="I315" s="11" t="n">
        <f aca="false">IF(G315="","",DATEVALUE(G315)-DATEVALUE(C315))</f>
        <v>32</v>
      </c>
      <c r="J315" s="11" t="n">
        <f aca="true">IF(G315="",TODAY()-DATEVALUE(D315),DATEVALUE(G315)-DATEVALUE(D315))</f>
        <v>2</v>
      </c>
      <c r="K315" s="11" t="str">
        <f aca="false">IF(J315&lt;=0,"Current",IF(J315&lt;=30,"1-30 days",IF(J315&lt;=60,"31-60 days",IF(J315&lt;=90,"61-90 days","90+ days"))))</f>
        <v>1-30 days</v>
      </c>
    </row>
    <row r="316" customFormat="false" ht="15" hidden="false" customHeight="false" outlineLevel="0" collapsed="false">
      <c r="A316" s="10" t="s">
        <v>736</v>
      </c>
      <c r="B316" s="10" t="s">
        <v>82</v>
      </c>
      <c r="C316" s="10" t="s">
        <v>592</v>
      </c>
      <c r="D316" s="10" t="s">
        <v>215</v>
      </c>
      <c r="E316" s="10" t="n">
        <v>30</v>
      </c>
      <c r="F316" s="10" t="n">
        <v>5704.01</v>
      </c>
      <c r="G316" s="10" t="s">
        <v>346</v>
      </c>
      <c r="H316" s="11" t="str">
        <f aca="false">IF(G316="","Open","Paid")</f>
        <v>Paid</v>
      </c>
      <c r="I316" s="11" t="n">
        <f aca="false">IF(G316="","",DATEVALUE(G316)-DATEVALUE(C316))</f>
        <v>105</v>
      </c>
      <c r="J316" s="11" t="n">
        <f aca="true">IF(G316="",TODAY()-DATEVALUE(D316),DATEVALUE(G316)-DATEVALUE(D316))</f>
        <v>75</v>
      </c>
      <c r="K316" s="11" t="str">
        <f aca="false">IF(J316&lt;=0,"Current",IF(J316&lt;=30,"1-30 days",IF(J316&lt;=60,"31-60 days",IF(J316&lt;=90,"61-90 days","90+ days"))))</f>
        <v>61-90 days</v>
      </c>
    </row>
    <row r="317" customFormat="false" ht="15" hidden="false" customHeight="false" outlineLevel="0" collapsed="false">
      <c r="A317" s="10" t="s">
        <v>737</v>
      </c>
      <c r="B317" s="10" t="s">
        <v>303</v>
      </c>
      <c r="C317" s="10" t="s">
        <v>738</v>
      </c>
      <c r="D317" s="10" t="s">
        <v>70</v>
      </c>
      <c r="E317" s="10" t="n">
        <v>45</v>
      </c>
      <c r="F317" s="10" t="n">
        <v>10779.52</v>
      </c>
      <c r="G317" s="10" t="s">
        <v>548</v>
      </c>
      <c r="H317" s="11" t="str">
        <f aca="false">IF(G317="","Open","Paid")</f>
        <v>Paid</v>
      </c>
      <c r="I317" s="11" t="n">
        <f aca="false">IF(G317="","",DATEVALUE(G317)-DATEVALUE(C317))</f>
        <v>50</v>
      </c>
      <c r="J317" s="11" t="n">
        <f aca="true">IF(G317="",TODAY()-DATEVALUE(D317),DATEVALUE(G317)-DATEVALUE(D317))</f>
        <v>5</v>
      </c>
      <c r="K317" s="11" t="str">
        <f aca="false">IF(J317&lt;=0,"Current",IF(J317&lt;=30,"1-30 days",IF(J317&lt;=60,"31-60 days",IF(J317&lt;=90,"61-90 days","90+ days"))))</f>
        <v>1-30 days</v>
      </c>
    </row>
    <row r="318" customFormat="false" ht="15" hidden="false" customHeight="false" outlineLevel="0" collapsed="false">
      <c r="A318" s="10" t="s">
        <v>739</v>
      </c>
      <c r="B318" s="10" t="s">
        <v>469</v>
      </c>
      <c r="C318" s="10" t="s">
        <v>31</v>
      </c>
      <c r="D318" s="10" t="s">
        <v>358</v>
      </c>
      <c r="E318" s="10" t="n">
        <v>30</v>
      </c>
      <c r="F318" s="10" t="n">
        <v>3258.92</v>
      </c>
      <c r="G318" s="10" t="s">
        <v>309</v>
      </c>
      <c r="H318" s="11" t="str">
        <f aca="false">IF(G318="","Open","Paid")</f>
        <v>Paid</v>
      </c>
      <c r="I318" s="11" t="n">
        <f aca="false">IF(G318="","",DATEVALUE(G318)-DATEVALUE(C318))</f>
        <v>32</v>
      </c>
      <c r="J318" s="11" t="n">
        <f aca="true">IF(G318="",TODAY()-DATEVALUE(D318),DATEVALUE(G318)-DATEVALUE(D318))</f>
        <v>2</v>
      </c>
      <c r="K318" s="11" t="str">
        <f aca="false">IF(J318&lt;=0,"Current",IF(J318&lt;=30,"1-30 days",IF(J318&lt;=60,"31-60 days",IF(J318&lt;=90,"61-90 days","90+ days"))))</f>
        <v>1-30 days</v>
      </c>
    </row>
    <row r="319" customFormat="false" ht="15" hidden="false" customHeight="false" outlineLevel="0" collapsed="false">
      <c r="A319" s="10" t="s">
        <v>740</v>
      </c>
      <c r="B319" s="10" t="s">
        <v>97</v>
      </c>
      <c r="C319" s="10" t="s">
        <v>53</v>
      </c>
      <c r="D319" s="10" t="s">
        <v>241</v>
      </c>
      <c r="E319" s="10" t="n">
        <v>30</v>
      </c>
      <c r="F319" s="10" t="n">
        <v>6460.2</v>
      </c>
      <c r="G319" s="10" t="s">
        <v>194</v>
      </c>
      <c r="H319" s="11" t="str">
        <f aca="false">IF(G319="","Open","Paid")</f>
        <v>Paid</v>
      </c>
      <c r="I319" s="11" t="n">
        <f aca="false">IF(G319="","",DATEVALUE(G319)-DATEVALUE(C319))</f>
        <v>23</v>
      </c>
      <c r="J319" s="11" t="n">
        <f aca="true">IF(G319="",TODAY()-DATEVALUE(D319),DATEVALUE(G319)-DATEVALUE(D319))</f>
        <v>-7</v>
      </c>
      <c r="K319" s="11" t="str">
        <f aca="false">IF(J319&lt;=0,"Current",IF(J319&lt;=30,"1-30 days",IF(J319&lt;=60,"31-60 days",IF(J319&lt;=90,"61-90 days","90+ days"))))</f>
        <v>Current</v>
      </c>
    </row>
    <row r="320" customFormat="false" ht="15" hidden="false" customHeight="false" outlineLevel="0" collapsed="false">
      <c r="A320" s="10" t="s">
        <v>741</v>
      </c>
      <c r="B320" s="10" t="s">
        <v>77</v>
      </c>
      <c r="C320" s="10" t="s">
        <v>358</v>
      </c>
      <c r="D320" s="10" t="s">
        <v>289</v>
      </c>
      <c r="E320" s="10" t="n">
        <v>30</v>
      </c>
      <c r="F320" s="10" t="n">
        <v>3729.43</v>
      </c>
      <c r="G320" s="10" t="s">
        <v>289</v>
      </c>
      <c r="H320" s="11" t="str">
        <f aca="false">IF(G320="","Open","Paid")</f>
        <v>Paid</v>
      </c>
      <c r="I320" s="11" t="n">
        <f aca="false">IF(G320="","",DATEVALUE(G320)-DATEVALUE(C320))</f>
        <v>30</v>
      </c>
      <c r="J320" s="11" t="n">
        <f aca="true">IF(G320="",TODAY()-DATEVALUE(D320),DATEVALUE(G320)-DATEVALUE(D320))</f>
        <v>0</v>
      </c>
      <c r="K320" s="11" t="str">
        <f aca="false">IF(J320&lt;=0,"Current",IF(J320&lt;=30,"1-30 days",IF(J320&lt;=60,"31-60 days",IF(J320&lt;=90,"61-90 days","90+ days"))))</f>
        <v>Current</v>
      </c>
    </row>
    <row r="321" customFormat="false" ht="15" hidden="false" customHeight="false" outlineLevel="0" collapsed="false">
      <c r="A321" s="10" t="s">
        <v>742</v>
      </c>
      <c r="B321" s="10" t="s">
        <v>243</v>
      </c>
      <c r="C321" s="10" t="s">
        <v>743</v>
      </c>
      <c r="D321" s="10" t="s">
        <v>126</v>
      </c>
      <c r="E321" s="10" t="n">
        <v>30</v>
      </c>
      <c r="F321" s="10" t="n">
        <v>4472.06</v>
      </c>
      <c r="G321" s="10" t="s">
        <v>49</v>
      </c>
      <c r="H321" s="11" t="str">
        <f aca="false">IF(G321="","Open","Paid")</f>
        <v>Paid</v>
      </c>
      <c r="I321" s="11" t="n">
        <f aca="false">IF(G321="","",DATEVALUE(G321)-DATEVALUE(C321))</f>
        <v>26</v>
      </c>
      <c r="J321" s="11" t="n">
        <f aca="true">IF(G321="",TODAY()-DATEVALUE(D321),DATEVALUE(G321)-DATEVALUE(D321))</f>
        <v>-4</v>
      </c>
      <c r="K321" s="11" t="str">
        <f aca="false">IF(J321&lt;=0,"Current",IF(J321&lt;=30,"1-30 days",IF(J321&lt;=60,"31-60 days",IF(J321&lt;=90,"61-90 days","90+ days"))))</f>
        <v>Current</v>
      </c>
    </row>
    <row r="322" customFormat="false" ht="15" hidden="false" customHeight="false" outlineLevel="0" collapsed="false">
      <c r="A322" s="10" t="s">
        <v>744</v>
      </c>
      <c r="B322" s="10" t="s">
        <v>77</v>
      </c>
      <c r="C322" s="10" t="s">
        <v>504</v>
      </c>
      <c r="D322" s="10" t="s">
        <v>161</v>
      </c>
      <c r="E322" s="10" t="n">
        <v>30</v>
      </c>
      <c r="F322" s="10" t="n">
        <v>5071.7</v>
      </c>
      <c r="G322" s="10" t="s">
        <v>745</v>
      </c>
      <c r="H322" s="11" t="str">
        <f aca="false">IF(G322="","Open","Paid")</f>
        <v>Paid</v>
      </c>
      <c r="I322" s="11" t="n">
        <f aca="false">IF(G322="","",DATEVALUE(G322)-DATEVALUE(C322))</f>
        <v>20</v>
      </c>
      <c r="J322" s="11" t="n">
        <f aca="true">IF(G322="",TODAY()-DATEVALUE(D322),DATEVALUE(G322)-DATEVALUE(D322))</f>
        <v>-10</v>
      </c>
      <c r="K322" s="11" t="str">
        <f aca="false">IF(J322&lt;=0,"Current",IF(J322&lt;=30,"1-30 days",IF(J322&lt;=60,"31-60 days",IF(J322&lt;=90,"61-90 days","90+ days"))))</f>
        <v>Current</v>
      </c>
    </row>
    <row r="323" customFormat="false" ht="15" hidden="false" customHeight="false" outlineLevel="0" collapsed="false">
      <c r="A323" s="10" t="s">
        <v>746</v>
      </c>
      <c r="B323" s="10" t="s">
        <v>77</v>
      </c>
      <c r="C323" s="10" t="s">
        <v>267</v>
      </c>
      <c r="D323" s="10" t="s">
        <v>456</v>
      </c>
      <c r="E323" s="10" t="n">
        <v>30</v>
      </c>
      <c r="F323" s="10" t="n">
        <v>5928.77</v>
      </c>
      <c r="G323" s="10" t="s">
        <v>188</v>
      </c>
      <c r="H323" s="11" t="str">
        <f aca="false">IF(G323="","Open","Paid")</f>
        <v>Paid</v>
      </c>
      <c r="I323" s="11" t="n">
        <f aca="false">IF(G323="","",DATEVALUE(G323)-DATEVALUE(C323))</f>
        <v>26</v>
      </c>
      <c r="J323" s="11" t="n">
        <f aca="true">IF(G323="",TODAY()-DATEVALUE(D323),DATEVALUE(G323)-DATEVALUE(D323))</f>
        <v>-4</v>
      </c>
      <c r="K323" s="11" t="str">
        <f aca="false">IF(J323&lt;=0,"Current",IF(J323&lt;=30,"1-30 days",IF(J323&lt;=60,"31-60 days",IF(J323&lt;=90,"61-90 days","90+ days"))))</f>
        <v>Current</v>
      </c>
    </row>
    <row r="324" customFormat="false" ht="15" hidden="false" customHeight="false" outlineLevel="0" collapsed="false">
      <c r="A324" s="10" t="s">
        <v>747</v>
      </c>
      <c r="B324" s="10" t="s">
        <v>123</v>
      </c>
      <c r="C324" s="10" t="s">
        <v>738</v>
      </c>
      <c r="D324" s="10" t="s">
        <v>70</v>
      </c>
      <c r="E324" s="10" t="n">
        <v>45</v>
      </c>
      <c r="F324" s="10" t="n">
        <v>2969.59</v>
      </c>
      <c r="G324" s="10" t="s">
        <v>219</v>
      </c>
      <c r="H324" s="11" t="str">
        <f aca="false">IF(G324="","Open","Paid")</f>
        <v>Paid</v>
      </c>
      <c r="I324" s="11" t="n">
        <f aca="false">IF(G324="","",DATEVALUE(G324)-DATEVALUE(C324))</f>
        <v>47</v>
      </c>
      <c r="J324" s="11" t="n">
        <f aca="true">IF(G324="",TODAY()-DATEVALUE(D324),DATEVALUE(G324)-DATEVALUE(D324))</f>
        <v>2</v>
      </c>
      <c r="K324" s="11" t="str">
        <f aca="false">IF(J324&lt;=0,"Current",IF(J324&lt;=30,"1-30 days",IF(J324&lt;=60,"31-60 days",IF(J324&lt;=90,"61-90 days","90+ days"))))</f>
        <v>1-30 days</v>
      </c>
    </row>
    <row r="325" customFormat="false" ht="15" hidden="false" customHeight="false" outlineLevel="0" collapsed="false">
      <c r="A325" s="10" t="s">
        <v>748</v>
      </c>
      <c r="B325" s="10" t="s">
        <v>487</v>
      </c>
      <c r="C325" s="10" t="s">
        <v>201</v>
      </c>
      <c r="D325" s="10" t="s">
        <v>749</v>
      </c>
      <c r="E325" s="10" t="n">
        <v>30</v>
      </c>
      <c r="F325" s="10" t="n">
        <v>6282.02</v>
      </c>
      <c r="G325" s="10" t="s">
        <v>646</v>
      </c>
      <c r="H325" s="11" t="str">
        <f aca="false">IF(G325="","Open","Paid")</f>
        <v>Paid</v>
      </c>
      <c r="I325" s="11" t="n">
        <f aca="false">IF(G325="","",DATEVALUE(G325)-DATEVALUE(C325))</f>
        <v>20</v>
      </c>
      <c r="J325" s="11" t="n">
        <f aca="true">IF(G325="",TODAY()-DATEVALUE(D325),DATEVALUE(G325)-DATEVALUE(D325))</f>
        <v>-10</v>
      </c>
      <c r="K325" s="11" t="str">
        <f aca="false">IF(J325&lt;=0,"Current",IF(J325&lt;=30,"1-30 days",IF(J325&lt;=60,"31-60 days",IF(J325&lt;=90,"61-90 days","90+ days"))))</f>
        <v>Current</v>
      </c>
    </row>
    <row r="326" customFormat="false" ht="15" hidden="false" customHeight="false" outlineLevel="0" collapsed="false">
      <c r="A326" s="10" t="s">
        <v>750</v>
      </c>
      <c r="B326" s="10" t="s">
        <v>487</v>
      </c>
      <c r="C326" s="10" t="s">
        <v>125</v>
      </c>
      <c r="D326" s="10" t="s">
        <v>271</v>
      </c>
      <c r="E326" s="10" t="n">
        <v>30</v>
      </c>
      <c r="F326" s="10" t="n">
        <v>4919.3</v>
      </c>
      <c r="G326" s="10" t="s">
        <v>572</v>
      </c>
      <c r="H326" s="11" t="str">
        <f aca="false">IF(G326="","Open","Paid")</f>
        <v>Paid</v>
      </c>
      <c r="I326" s="11" t="n">
        <f aca="false">IF(G326="","",DATEVALUE(G326)-DATEVALUE(C326))</f>
        <v>20</v>
      </c>
      <c r="J326" s="11" t="n">
        <f aca="true">IF(G326="",TODAY()-DATEVALUE(D326),DATEVALUE(G326)-DATEVALUE(D326))</f>
        <v>-10</v>
      </c>
      <c r="K326" s="11" t="str">
        <f aca="false">IF(J326&lt;=0,"Current",IF(J326&lt;=30,"1-30 days",IF(J326&lt;=60,"31-60 days",IF(J326&lt;=90,"61-90 days","90+ days"))))</f>
        <v>Current</v>
      </c>
    </row>
    <row r="327" customFormat="false" ht="15" hidden="false" customHeight="false" outlineLevel="0" collapsed="false">
      <c r="A327" s="10" t="s">
        <v>751</v>
      </c>
      <c r="B327" s="10" t="s">
        <v>119</v>
      </c>
      <c r="C327" s="10" t="s">
        <v>413</v>
      </c>
      <c r="D327" s="10" t="s">
        <v>134</v>
      </c>
      <c r="E327" s="10" t="n">
        <v>30</v>
      </c>
      <c r="F327" s="10" t="n">
        <v>1809.1</v>
      </c>
      <c r="G327" s="10" t="s">
        <v>202</v>
      </c>
      <c r="H327" s="11" t="str">
        <f aca="false">IF(G327="","Open","Paid")</f>
        <v>Paid</v>
      </c>
      <c r="I327" s="11" t="n">
        <f aca="false">IF(G327="","",DATEVALUE(G327)-DATEVALUE(C327))</f>
        <v>37</v>
      </c>
      <c r="J327" s="11" t="n">
        <f aca="true">IF(G327="",TODAY()-DATEVALUE(D327),DATEVALUE(G327)-DATEVALUE(D327))</f>
        <v>7</v>
      </c>
      <c r="K327" s="11" t="str">
        <f aca="false">IF(J327&lt;=0,"Current",IF(J327&lt;=30,"1-30 days",IF(J327&lt;=60,"31-60 days",IF(J327&lt;=90,"61-90 days","90+ days"))))</f>
        <v>1-30 days</v>
      </c>
    </row>
    <row r="328" customFormat="false" ht="15" hidden="false" customHeight="false" outlineLevel="0" collapsed="false">
      <c r="A328" s="10" t="s">
        <v>752</v>
      </c>
      <c r="B328" s="10" t="s">
        <v>28</v>
      </c>
      <c r="C328" s="10" t="s">
        <v>75</v>
      </c>
      <c r="D328" s="10" t="s">
        <v>339</v>
      </c>
      <c r="E328" s="10" t="n">
        <v>30</v>
      </c>
      <c r="F328" s="10" t="n">
        <v>1253.49</v>
      </c>
      <c r="G328" s="10" t="s">
        <v>458</v>
      </c>
      <c r="H328" s="11" t="str">
        <f aca="false">IF(G328="","Open","Paid")</f>
        <v>Paid</v>
      </c>
      <c r="I328" s="11" t="n">
        <f aca="false">IF(G328="","",DATEVALUE(G328)-DATEVALUE(C328))</f>
        <v>34</v>
      </c>
      <c r="J328" s="11" t="n">
        <f aca="true">IF(G328="",TODAY()-DATEVALUE(D328),DATEVALUE(G328)-DATEVALUE(D328))</f>
        <v>4</v>
      </c>
      <c r="K328" s="11" t="str">
        <f aca="false">IF(J328&lt;=0,"Current",IF(J328&lt;=30,"1-30 days",IF(J328&lt;=60,"31-60 days",IF(J328&lt;=90,"61-90 days","90+ days"))))</f>
        <v>1-30 days</v>
      </c>
    </row>
    <row r="329" customFormat="false" ht="15" hidden="false" customHeight="false" outlineLevel="0" collapsed="false">
      <c r="A329" s="10" t="s">
        <v>753</v>
      </c>
      <c r="B329" s="10" t="s">
        <v>229</v>
      </c>
      <c r="C329" s="10" t="s">
        <v>641</v>
      </c>
      <c r="D329" s="10" t="s">
        <v>65</v>
      </c>
      <c r="E329" s="10" t="n">
        <v>30</v>
      </c>
      <c r="F329" s="10" t="n">
        <v>8924.51</v>
      </c>
      <c r="G329" s="10" t="s">
        <v>416</v>
      </c>
      <c r="H329" s="11" t="str">
        <f aca="false">IF(G329="","Open","Paid")</f>
        <v>Paid</v>
      </c>
      <c r="I329" s="11" t="n">
        <f aca="false">IF(G329="","",DATEVALUE(G329)-DATEVALUE(C329))</f>
        <v>36</v>
      </c>
      <c r="J329" s="11" t="n">
        <f aca="true">IF(G329="",TODAY()-DATEVALUE(D329),DATEVALUE(G329)-DATEVALUE(D329))</f>
        <v>6</v>
      </c>
      <c r="K329" s="11" t="str">
        <f aca="false">IF(J329&lt;=0,"Current",IF(J329&lt;=30,"1-30 days",IF(J329&lt;=60,"31-60 days",IF(J329&lt;=90,"61-90 days","90+ days"))))</f>
        <v>1-30 days</v>
      </c>
    </row>
    <row r="330" customFormat="false" ht="15" hidden="false" customHeight="false" outlineLevel="0" collapsed="false">
      <c r="A330" s="10" t="s">
        <v>754</v>
      </c>
      <c r="B330" s="10" t="s">
        <v>139</v>
      </c>
      <c r="C330" s="10" t="s">
        <v>116</v>
      </c>
      <c r="D330" s="10" t="s">
        <v>446</v>
      </c>
      <c r="E330" s="10" t="n">
        <v>45</v>
      </c>
      <c r="F330" s="10" t="n">
        <v>4337.2</v>
      </c>
      <c r="G330" s="10" t="s">
        <v>420</v>
      </c>
      <c r="H330" s="11" t="str">
        <f aca="false">IF(G330="","Open","Paid")</f>
        <v>Paid</v>
      </c>
      <c r="I330" s="11" t="n">
        <f aca="false">IF(G330="","",DATEVALUE(G330)-DATEVALUE(C330))</f>
        <v>47</v>
      </c>
      <c r="J330" s="11" t="n">
        <f aca="true">IF(G330="",TODAY()-DATEVALUE(D330),DATEVALUE(G330)-DATEVALUE(D330))</f>
        <v>2</v>
      </c>
      <c r="K330" s="11" t="str">
        <f aca="false">IF(J330&lt;=0,"Current",IF(J330&lt;=30,"1-30 days",IF(J330&lt;=60,"31-60 days",IF(J330&lt;=90,"61-90 days","90+ days"))))</f>
        <v>1-30 days</v>
      </c>
    </row>
    <row r="331" customFormat="false" ht="15" hidden="false" customHeight="false" outlineLevel="0" collapsed="false">
      <c r="A331" s="10" t="s">
        <v>755</v>
      </c>
      <c r="B331" s="10" t="s">
        <v>603</v>
      </c>
      <c r="C331" s="10" t="s">
        <v>168</v>
      </c>
      <c r="D331" s="10" t="s">
        <v>532</v>
      </c>
      <c r="E331" s="10" t="n">
        <v>45</v>
      </c>
      <c r="F331" s="10" t="n">
        <v>1664.55</v>
      </c>
      <c r="G331" s="10" t="s">
        <v>408</v>
      </c>
      <c r="H331" s="11" t="str">
        <f aca="false">IF(G331="","Open","Paid")</f>
        <v>Paid</v>
      </c>
      <c r="I331" s="11" t="n">
        <f aca="false">IF(G331="","",DATEVALUE(G331)-DATEVALUE(C331))</f>
        <v>56</v>
      </c>
      <c r="J331" s="11" t="n">
        <f aca="true">IF(G331="",TODAY()-DATEVALUE(D331),DATEVALUE(G331)-DATEVALUE(D331))</f>
        <v>11</v>
      </c>
      <c r="K331" s="11" t="str">
        <f aca="false">IF(J331&lt;=0,"Current",IF(J331&lt;=30,"1-30 days",IF(J331&lt;=60,"31-60 days",IF(J331&lt;=90,"61-90 days","90+ days"))))</f>
        <v>1-30 days</v>
      </c>
    </row>
    <row r="332" customFormat="false" ht="15" hidden="false" customHeight="false" outlineLevel="0" collapsed="false">
      <c r="A332" s="10" t="s">
        <v>756</v>
      </c>
      <c r="B332" s="10" t="s">
        <v>212</v>
      </c>
      <c r="C332" s="10" t="s">
        <v>757</v>
      </c>
      <c r="D332" s="10" t="s">
        <v>413</v>
      </c>
      <c r="E332" s="10" t="n">
        <v>30</v>
      </c>
      <c r="F332" s="10" t="n">
        <v>11762.77</v>
      </c>
      <c r="G332" s="10" t="s">
        <v>202</v>
      </c>
      <c r="H332" s="11" t="str">
        <f aca="false">IF(G332="","Open","Paid")</f>
        <v>Paid</v>
      </c>
      <c r="I332" s="11" t="n">
        <f aca="false">IF(G332="","",DATEVALUE(G332)-DATEVALUE(C332))</f>
        <v>67</v>
      </c>
      <c r="J332" s="11" t="n">
        <f aca="true">IF(G332="",TODAY()-DATEVALUE(D332),DATEVALUE(G332)-DATEVALUE(D332))</f>
        <v>37</v>
      </c>
      <c r="K332" s="11" t="str">
        <f aca="false">IF(J332&lt;=0,"Current",IF(J332&lt;=30,"1-30 days",IF(J332&lt;=60,"31-60 days",IF(J332&lt;=90,"61-90 days","90+ days"))))</f>
        <v>31-60 days</v>
      </c>
    </row>
    <row r="333" customFormat="false" ht="15" hidden="false" customHeight="false" outlineLevel="0" collapsed="false">
      <c r="A333" s="10" t="s">
        <v>758</v>
      </c>
      <c r="B333" s="10" t="s">
        <v>568</v>
      </c>
      <c r="C333" s="10" t="s">
        <v>164</v>
      </c>
      <c r="D333" s="10" t="s">
        <v>149</v>
      </c>
      <c r="E333" s="10" t="n">
        <v>30</v>
      </c>
      <c r="F333" s="10" t="n">
        <v>6653.49</v>
      </c>
      <c r="G333" s="10"/>
      <c r="H333" s="11" t="str">
        <f aca="false">IF(G333="","Open","Paid")</f>
        <v>Open</v>
      </c>
      <c r="I333" s="11" t="str">
        <f aca="false">IF(G333="","",DATEVALUE(G333)-DATEVALUE(C333))</f>
        <v/>
      </c>
      <c r="J333" s="11" t="n">
        <f aca="true">IF(G333="",TODAY()-DATEVALUE(D333),DATEVALUE(G333)-DATEVALUE(D333))</f>
        <v>46</v>
      </c>
      <c r="K333" s="11" t="str">
        <f aca="false">IF(J333&lt;=0,"Current",IF(J333&lt;=30,"1-30 days",IF(J333&lt;=60,"31-60 days",IF(J333&lt;=90,"61-90 days","90+ days"))))</f>
        <v>31-60 days</v>
      </c>
    </row>
    <row r="334" customFormat="false" ht="15" hidden="false" customHeight="false" outlineLevel="0" collapsed="false">
      <c r="A334" s="10" t="s">
        <v>759</v>
      </c>
      <c r="B334" s="10" t="s">
        <v>171</v>
      </c>
      <c r="C334" s="10" t="s">
        <v>594</v>
      </c>
      <c r="D334" s="10" t="s">
        <v>26</v>
      </c>
      <c r="E334" s="10" t="n">
        <v>30</v>
      </c>
      <c r="F334" s="10" t="n">
        <v>5836.62</v>
      </c>
      <c r="G334" s="10" t="s">
        <v>241</v>
      </c>
      <c r="H334" s="11" t="str">
        <f aca="false">IF(G334="","Open","Paid")</f>
        <v>Paid</v>
      </c>
      <c r="I334" s="11" t="n">
        <f aca="false">IF(G334="","",DATEVALUE(G334)-DATEVALUE(C334))</f>
        <v>33</v>
      </c>
      <c r="J334" s="11" t="n">
        <f aca="true">IF(G334="",TODAY()-DATEVALUE(D334),DATEVALUE(G334)-DATEVALUE(D334))</f>
        <v>3</v>
      </c>
      <c r="K334" s="11" t="str">
        <f aca="false">IF(J334&lt;=0,"Current",IF(J334&lt;=30,"1-30 days",IF(J334&lt;=60,"31-60 days",IF(J334&lt;=90,"61-90 days","90+ days"))))</f>
        <v>1-30 days</v>
      </c>
    </row>
    <row r="335" customFormat="false" ht="15" hidden="false" customHeight="false" outlineLevel="0" collapsed="false">
      <c r="A335" s="10" t="s">
        <v>760</v>
      </c>
      <c r="B335" s="10" t="s">
        <v>33</v>
      </c>
      <c r="C335" s="10" t="s">
        <v>745</v>
      </c>
      <c r="D335" s="10" t="s">
        <v>133</v>
      </c>
      <c r="E335" s="10" t="n">
        <v>30</v>
      </c>
      <c r="F335" s="10" t="n">
        <v>2792.11</v>
      </c>
      <c r="G335" s="10" t="s">
        <v>320</v>
      </c>
      <c r="H335" s="11" t="str">
        <f aca="false">IF(G335="","Open","Paid")</f>
        <v>Paid</v>
      </c>
      <c r="I335" s="11" t="n">
        <f aca="false">IF(G335="","",DATEVALUE(G335)-DATEVALUE(C335))</f>
        <v>28</v>
      </c>
      <c r="J335" s="11" t="n">
        <f aca="true">IF(G335="",TODAY()-DATEVALUE(D335),DATEVALUE(G335)-DATEVALUE(D335))</f>
        <v>-2</v>
      </c>
      <c r="K335" s="11" t="str">
        <f aca="false">IF(J335&lt;=0,"Current",IF(J335&lt;=30,"1-30 days",IF(J335&lt;=60,"31-60 days",IF(J335&lt;=90,"61-90 days","90+ days"))))</f>
        <v>Current</v>
      </c>
    </row>
    <row r="336" customFormat="false" ht="15" hidden="false" customHeight="false" outlineLevel="0" collapsed="false">
      <c r="A336" s="10" t="s">
        <v>761</v>
      </c>
      <c r="B336" s="10" t="s">
        <v>151</v>
      </c>
      <c r="C336" s="10" t="s">
        <v>408</v>
      </c>
      <c r="D336" s="10" t="s">
        <v>560</v>
      </c>
      <c r="E336" s="10" t="n">
        <v>45</v>
      </c>
      <c r="F336" s="10" t="n">
        <v>1789.63</v>
      </c>
      <c r="G336" s="10" t="s">
        <v>762</v>
      </c>
      <c r="H336" s="11" t="str">
        <f aca="false">IF(G336="","Open","Paid")</f>
        <v>Paid</v>
      </c>
      <c r="I336" s="11" t="n">
        <f aca="false">IF(G336="","",DATEVALUE(G336)-DATEVALUE(C336))</f>
        <v>38</v>
      </c>
      <c r="J336" s="11" t="n">
        <f aca="true">IF(G336="",TODAY()-DATEVALUE(D336),DATEVALUE(G336)-DATEVALUE(D336))</f>
        <v>-7</v>
      </c>
      <c r="K336" s="11" t="str">
        <f aca="false">IF(J336&lt;=0,"Current",IF(J336&lt;=30,"1-30 days",IF(J336&lt;=60,"31-60 days",IF(J336&lt;=90,"61-90 days","90+ days"))))</f>
        <v>Current</v>
      </c>
    </row>
    <row r="337" customFormat="false" ht="15" hidden="false" customHeight="false" outlineLevel="0" collapsed="false">
      <c r="A337" s="10" t="s">
        <v>763</v>
      </c>
      <c r="B337" s="10" t="s">
        <v>163</v>
      </c>
      <c r="C337" s="10" t="s">
        <v>40</v>
      </c>
      <c r="D337" s="10" t="s">
        <v>641</v>
      </c>
      <c r="E337" s="10" t="n">
        <v>30</v>
      </c>
      <c r="F337" s="10" t="n">
        <v>5344.79</v>
      </c>
      <c r="G337" s="10" t="s">
        <v>247</v>
      </c>
      <c r="H337" s="11" t="str">
        <f aca="false">IF(G337="","Open","Paid")</f>
        <v>Paid</v>
      </c>
      <c r="I337" s="11" t="n">
        <f aca="false">IF(G337="","",DATEVALUE(G337)-DATEVALUE(C337))</f>
        <v>56</v>
      </c>
      <c r="J337" s="11" t="n">
        <f aca="true">IF(G337="",TODAY()-DATEVALUE(D337),DATEVALUE(G337)-DATEVALUE(D337))</f>
        <v>26</v>
      </c>
      <c r="K337" s="11" t="str">
        <f aca="false">IF(J337&lt;=0,"Current",IF(J337&lt;=30,"1-30 days",IF(J337&lt;=60,"31-60 days",IF(J337&lt;=90,"61-90 days","90+ days"))))</f>
        <v>1-30 days</v>
      </c>
    </row>
    <row r="338" customFormat="false" ht="15" hidden="false" customHeight="false" outlineLevel="0" collapsed="false">
      <c r="A338" s="10" t="s">
        <v>764</v>
      </c>
      <c r="B338" s="10" t="s">
        <v>64</v>
      </c>
      <c r="C338" s="10" t="s">
        <v>43</v>
      </c>
      <c r="D338" s="10" t="s">
        <v>555</v>
      </c>
      <c r="E338" s="10" t="n">
        <v>30</v>
      </c>
      <c r="F338" s="10" t="n">
        <v>4733.63</v>
      </c>
      <c r="G338" s="10" t="s">
        <v>762</v>
      </c>
      <c r="H338" s="11" t="str">
        <f aca="false">IF(G338="","Open","Paid")</f>
        <v>Paid</v>
      </c>
      <c r="I338" s="11" t="n">
        <f aca="false">IF(G338="","",DATEVALUE(G338)-DATEVALUE(C338))</f>
        <v>24</v>
      </c>
      <c r="J338" s="11" t="n">
        <f aca="true">IF(G338="",TODAY()-DATEVALUE(D338),DATEVALUE(G338)-DATEVALUE(D338))</f>
        <v>-6</v>
      </c>
      <c r="K338" s="11" t="str">
        <f aca="false">IF(J338&lt;=0,"Current",IF(J338&lt;=30,"1-30 days",IF(J338&lt;=60,"31-60 days",IF(J338&lt;=90,"61-90 days","90+ days"))))</f>
        <v>Current</v>
      </c>
    </row>
    <row r="339" customFormat="false" ht="15" hidden="false" customHeight="false" outlineLevel="0" collapsed="false">
      <c r="A339" s="10" t="s">
        <v>765</v>
      </c>
      <c r="B339" s="10" t="s">
        <v>603</v>
      </c>
      <c r="C339" s="10" t="s">
        <v>237</v>
      </c>
      <c r="D339" s="10" t="s">
        <v>766</v>
      </c>
      <c r="E339" s="10" t="n">
        <v>60</v>
      </c>
      <c r="F339" s="10" t="n">
        <v>2288.73</v>
      </c>
      <c r="G339" s="10" t="s">
        <v>240</v>
      </c>
      <c r="H339" s="11" t="str">
        <f aca="false">IF(G339="","Open","Paid")</f>
        <v>Paid</v>
      </c>
      <c r="I339" s="11" t="n">
        <f aca="false">IF(G339="","",DATEVALUE(G339)-DATEVALUE(C339))</f>
        <v>52</v>
      </c>
      <c r="J339" s="11" t="n">
        <f aca="true">IF(G339="",TODAY()-DATEVALUE(D339),DATEVALUE(G339)-DATEVALUE(D339))</f>
        <v>-8</v>
      </c>
      <c r="K339" s="11" t="str">
        <f aca="false">IF(J339&lt;=0,"Current",IF(J339&lt;=30,"1-30 days",IF(J339&lt;=60,"31-60 days",IF(J339&lt;=90,"61-90 days","90+ days"))))</f>
        <v>Current</v>
      </c>
    </row>
    <row r="340" customFormat="false" ht="15" hidden="false" customHeight="false" outlineLevel="0" collapsed="false">
      <c r="A340" s="10" t="s">
        <v>767</v>
      </c>
      <c r="B340" s="10" t="s">
        <v>123</v>
      </c>
      <c r="C340" s="10" t="s">
        <v>331</v>
      </c>
      <c r="D340" s="10" t="s">
        <v>460</v>
      </c>
      <c r="E340" s="10" t="n">
        <v>30</v>
      </c>
      <c r="F340" s="10" t="n">
        <v>2231.29</v>
      </c>
      <c r="G340" s="10"/>
      <c r="H340" s="11" t="str">
        <f aca="false">IF(G340="","Open","Paid")</f>
        <v>Open</v>
      </c>
      <c r="I340" s="11" t="str">
        <f aca="false">IF(G340="","",DATEVALUE(G340)-DATEVALUE(C340))</f>
        <v/>
      </c>
      <c r="J340" s="11" t="n">
        <f aca="true">IF(G340="",TODAY()-DATEVALUE(D340),DATEVALUE(G340)-DATEVALUE(D340))</f>
        <v>3</v>
      </c>
      <c r="K340" s="11" t="str">
        <f aca="false">IF(J340&lt;=0,"Current",IF(J340&lt;=30,"1-30 days",IF(J340&lt;=60,"31-60 days",IF(J340&lt;=90,"61-90 days","90+ days"))))</f>
        <v>1-30 days</v>
      </c>
    </row>
    <row r="341" customFormat="false" ht="15" hidden="false" customHeight="false" outlineLevel="0" collapsed="false">
      <c r="A341" s="10" t="s">
        <v>768</v>
      </c>
      <c r="B341" s="10" t="s">
        <v>217</v>
      </c>
      <c r="C341" s="10" t="s">
        <v>529</v>
      </c>
      <c r="D341" s="10" t="s">
        <v>48</v>
      </c>
      <c r="E341" s="10" t="n">
        <v>30</v>
      </c>
      <c r="F341" s="10" t="n">
        <v>2150.97</v>
      </c>
      <c r="G341" s="10" t="s">
        <v>160</v>
      </c>
      <c r="H341" s="11" t="str">
        <f aca="false">IF(G341="","Open","Paid")</f>
        <v>Paid</v>
      </c>
      <c r="I341" s="11" t="n">
        <f aca="false">IF(G341="","",DATEVALUE(G341)-DATEVALUE(C341))</f>
        <v>33</v>
      </c>
      <c r="J341" s="11" t="n">
        <f aca="true">IF(G341="",TODAY()-DATEVALUE(D341),DATEVALUE(G341)-DATEVALUE(D341))</f>
        <v>3</v>
      </c>
      <c r="K341" s="11" t="str">
        <f aca="false">IF(J341&lt;=0,"Current",IF(J341&lt;=30,"1-30 days",IF(J341&lt;=60,"31-60 days",IF(J341&lt;=90,"61-90 days","90+ days"))))</f>
        <v>1-30 days</v>
      </c>
    </row>
    <row r="342" customFormat="false" ht="15" hidden="false" customHeight="false" outlineLevel="0" collapsed="false">
      <c r="A342" s="10" t="s">
        <v>769</v>
      </c>
      <c r="B342" s="10" t="s">
        <v>603</v>
      </c>
      <c r="C342" s="10" t="s">
        <v>225</v>
      </c>
      <c r="D342" s="10" t="s">
        <v>254</v>
      </c>
      <c r="E342" s="10" t="n">
        <v>45</v>
      </c>
      <c r="F342" s="10" t="n">
        <v>2097.38</v>
      </c>
      <c r="G342" s="10" t="s">
        <v>227</v>
      </c>
      <c r="H342" s="11" t="str">
        <f aca="false">IF(G342="","Open","Paid")</f>
        <v>Paid</v>
      </c>
      <c r="I342" s="11" t="n">
        <f aca="false">IF(G342="","",DATEVALUE(G342)-DATEVALUE(C342))</f>
        <v>28</v>
      </c>
      <c r="J342" s="11" t="n">
        <f aca="true">IF(G342="",TODAY()-DATEVALUE(D342),DATEVALUE(G342)-DATEVALUE(D342))</f>
        <v>-17</v>
      </c>
      <c r="K342" s="11" t="str">
        <f aca="false">IF(J342&lt;=0,"Current",IF(J342&lt;=30,"1-30 days",IF(J342&lt;=60,"31-60 days",IF(J342&lt;=90,"61-90 days","90+ days"))))</f>
        <v>Current</v>
      </c>
    </row>
    <row r="343" customFormat="false" ht="15" hidden="false" customHeight="false" outlineLevel="0" collapsed="false">
      <c r="A343" s="10" t="s">
        <v>770</v>
      </c>
      <c r="B343" s="10" t="s">
        <v>256</v>
      </c>
      <c r="C343" s="10" t="s">
        <v>771</v>
      </c>
      <c r="D343" s="10" t="s">
        <v>49</v>
      </c>
      <c r="E343" s="10" t="n">
        <v>30</v>
      </c>
      <c r="F343" s="10" t="n">
        <v>3188.18</v>
      </c>
      <c r="G343" s="10" t="s">
        <v>443</v>
      </c>
      <c r="H343" s="11" t="str">
        <f aca="false">IF(G343="","Open","Paid")</f>
        <v>Paid</v>
      </c>
      <c r="I343" s="11" t="n">
        <f aca="false">IF(G343="","",DATEVALUE(G343)-DATEVALUE(C343))</f>
        <v>43</v>
      </c>
      <c r="J343" s="11" t="n">
        <f aca="true">IF(G343="",TODAY()-DATEVALUE(D343),DATEVALUE(G343)-DATEVALUE(D343))</f>
        <v>13</v>
      </c>
      <c r="K343" s="11" t="str">
        <f aca="false">IF(J343&lt;=0,"Current",IF(J343&lt;=30,"1-30 days",IF(J343&lt;=60,"31-60 days",IF(J343&lt;=90,"61-90 days","90+ days"))))</f>
        <v>1-30 days</v>
      </c>
    </row>
    <row r="344" customFormat="false" ht="15" hidden="false" customHeight="false" outlineLevel="0" collapsed="false">
      <c r="A344" s="10" t="s">
        <v>772</v>
      </c>
      <c r="B344" s="10" t="s">
        <v>123</v>
      </c>
      <c r="C344" s="10" t="s">
        <v>466</v>
      </c>
      <c r="D344" s="10" t="s">
        <v>58</v>
      </c>
      <c r="E344" s="10" t="n">
        <v>30</v>
      </c>
      <c r="F344" s="10" t="n">
        <v>5837.78</v>
      </c>
      <c r="G344" s="10" t="s">
        <v>109</v>
      </c>
      <c r="H344" s="11" t="str">
        <f aca="false">IF(G344="","Open","Paid")</f>
        <v>Paid</v>
      </c>
      <c r="I344" s="11" t="n">
        <f aca="false">IF(G344="","",DATEVALUE(G344)-DATEVALUE(C344))</f>
        <v>28</v>
      </c>
      <c r="J344" s="11" t="n">
        <f aca="true">IF(G344="",TODAY()-DATEVALUE(D344),DATEVALUE(G344)-DATEVALUE(D344))</f>
        <v>-2</v>
      </c>
      <c r="K344" s="11" t="str">
        <f aca="false">IF(J344&lt;=0,"Current",IF(J344&lt;=30,"1-30 days",IF(J344&lt;=60,"31-60 days",IF(J344&lt;=90,"61-90 days","90+ days"))))</f>
        <v>Current</v>
      </c>
    </row>
    <row r="345" customFormat="false" ht="15" hidden="false" customHeight="false" outlineLevel="0" collapsed="false">
      <c r="A345" s="10" t="s">
        <v>773</v>
      </c>
      <c r="B345" s="10" t="s">
        <v>144</v>
      </c>
      <c r="C345" s="10" t="s">
        <v>588</v>
      </c>
      <c r="D345" s="10" t="s">
        <v>624</v>
      </c>
      <c r="E345" s="10" t="n">
        <v>30</v>
      </c>
      <c r="F345" s="10" t="n">
        <v>6420.23</v>
      </c>
      <c r="G345" s="10" t="s">
        <v>774</v>
      </c>
      <c r="H345" s="11" t="str">
        <f aca="false">IF(G345="","Open","Paid")</f>
        <v>Paid</v>
      </c>
      <c r="I345" s="11" t="n">
        <f aca="false">IF(G345="","",DATEVALUE(G345)-DATEVALUE(C345))</f>
        <v>74</v>
      </c>
      <c r="J345" s="11" t="n">
        <f aca="true">IF(G345="",TODAY()-DATEVALUE(D345),DATEVALUE(G345)-DATEVALUE(D345))</f>
        <v>44</v>
      </c>
      <c r="K345" s="11" t="str">
        <f aca="false">IF(J345&lt;=0,"Current",IF(J345&lt;=30,"1-30 days",IF(J345&lt;=60,"31-60 days",IF(J345&lt;=90,"61-90 days","90+ days"))))</f>
        <v>31-60 days</v>
      </c>
    </row>
    <row r="346" customFormat="false" ht="15" hidden="false" customHeight="false" outlineLevel="0" collapsed="false">
      <c r="A346" s="10" t="s">
        <v>775</v>
      </c>
      <c r="B346" s="10" t="s">
        <v>351</v>
      </c>
      <c r="C346" s="10" t="s">
        <v>245</v>
      </c>
      <c r="D346" s="10" t="s">
        <v>378</v>
      </c>
      <c r="E346" s="10" t="n">
        <v>60</v>
      </c>
      <c r="F346" s="10" t="n">
        <v>4674.33</v>
      </c>
      <c r="G346" s="10" t="s">
        <v>154</v>
      </c>
      <c r="H346" s="11" t="str">
        <f aca="false">IF(G346="","Open","Paid")</f>
        <v>Paid</v>
      </c>
      <c r="I346" s="11" t="n">
        <f aca="false">IF(G346="","",DATEVALUE(G346)-DATEVALUE(C346))</f>
        <v>74</v>
      </c>
      <c r="J346" s="11" t="n">
        <f aca="true">IF(G346="",TODAY()-DATEVALUE(D346),DATEVALUE(G346)-DATEVALUE(D346))</f>
        <v>14</v>
      </c>
      <c r="K346" s="11" t="str">
        <f aca="false">IF(J346&lt;=0,"Current",IF(J346&lt;=30,"1-30 days",IF(J346&lt;=60,"31-60 days",IF(J346&lt;=90,"61-90 days","90+ days"))))</f>
        <v>1-30 days</v>
      </c>
    </row>
    <row r="347" customFormat="false" ht="15" hidden="false" customHeight="false" outlineLevel="0" collapsed="false">
      <c r="A347" s="10" t="s">
        <v>776</v>
      </c>
      <c r="B347" s="10" t="s">
        <v>151</v>
      </c>
      <c r="C347" s="10" t="s">
        <v>656</v>
      </c>
      <c r="D347" s="10" t="s">
        <v>636</v>
      </c>
      <c r="E347" s="10" t="n">
        <v>30</v>
      </c>
      <c r="F347" s="10" t="n">
        <v>5199.62</v>
      </c>
      <c r="G347" s="10" t="s">
        <v>594</v>
      </c>
      <c r="H347" s="11" t="str">
        <f aca="false">IF(G347="","Open","Paid")</f>
        <v>Paid</v>
      </c>
      <c r="I347" s="11" t="n">
        <f aca="false">IF(G347="","",DATEVALUE(G347)-DATEVALUE(C347))</f>
        <v>37</v>
      </c>
      <c r="J347" s="11" t="n">
        <f aca="true">IF(G347="",TODAY()-DATEVALUE(D347),DATEVALUE(G347)-DATEVALUE(D347))</f>
        <v>7</v>
      </c>
      <c r="K347" s="11" t="str">
        <f aca="false">IF(J347&lt;=0,"Current",IF(J347&lt;=30,"1-30 days",IF(J347&lt;=60,"31-60 days",IF(J347&lt;=90,"61-90 days","90+ days"))))</f>
        <v>1-30 days</v>
      </c>
    </row>
    <row r="348" customFormat="false" ht="15" hidden="false" customHeight="false" outlineLevel="0" collapsed="false">
      <c r="A348" s="10" t="s">
        <v>777</v>
      </c>
      <c r="B348" s="10" t="s">
        <v>114</v>
      </c>
      <c r="C348" s="10" t="s">
        <v>778</v>
      </c>
      <c r="D348" s="10" t="s">
        <v>530</v>
      </c>
      <c r="E348" s="10" t="n">
        <v>30</v>
      </c>
      <c r="F348" s="10" t="n">
        <v>6598.15</v>
      </c>
      <c r="G348" s="10" t="s">
        <v>375</v>
      </c>
      <c r="H348" s="11" t="str">
        <f aca="false">IF(G348="","Open","Paid")</f>
        <v>Paid</v>
      </c>
      <c r="I348" s="11" t="n">
        <f aca="false">IF(G348="","",DATEVALUE(G348)-DATEVALUE(C348))</f>
        <v>14</v>
      </c>
      <c r="J348" s="11" t="n">
        <f aca="true">IF(G348="",TODAY()-DATEVALUE(D348),DATEVALUE(G348)-DATEVALUE(D348))</f>
        <v>-16</v>
      </c>
      <c r="K348" s="11" t="str">
        <f aca="false">IF(J348&lt;=0,"Current",IF(J348&lt;=30,"1-30 days",IF(J348&lt;=60,"31-60 days",IF(J348&lt;=90,"61-90 days","90+ days"))))</f>
        <v>Current</v>
      </c>
    </row>
    <row r="349" customFormat="false" ht="15" hidden="false" customHeight="false" outlineLevel="0" collapsed="false">
      <c r="A349" s="10" t="s">
        <v>779</v>
      </c>
      <c r="B349" s="10" t="s">
        <v>144</v>
      </c>
      <c r="C349" s="10" t="s">
        <v>121</v>
      </c>
      <c r="D349" s="10" t="s">
        <v>440</v>
      </c>
      <c r="E349" s="10" t="n">
        <v>30</v>
      </c>
      <c r="F349" s="10" t="n">
        <v>997.24</v>
      </c>
      <c r="G349" s="10" t="s">
        <v>257</v>
      </c>
      <c r="H349" s="11" t="str">
        <f aca="false">IF(G349="","Open","Paid")</f>
        <v>Paid</v>
      </c>
      <c r="I349" s="11" t="n">
        <f aca="false">IF(G349="","",DATEVALUE(G349)-DATEVALUE(C349))</f>
        <v>51</v>
      </c>
      <c r="J349" s="11" t="n">
        <f aca="true">IF(G349="",TODAY()-DATEVALUE(D349),DATEVALUE(G349)-DATEVALUE(D349))</f>
        <v>21</v>
      </c>
      <c r="K349" s="11" t="str">
        <f aca="false">IF(J349&lt;=0,"Current",IF(J349&lt;=30,"1-30 days",IF(J349&lt;=60,"31-60 days",IF(J349&lt;=90,"61-90 days","90+ days"))))</f>
        <v>1-30 days</v>
      </c>
    </row>
    <row r="350" customFormat="false" ht="15" hidden="false" customHeight="false" outlineLevel="0" collapsed="false">
      <c r="A350" s="10" t="s">
        <v>780</v>
      </c>
      <c r="B350" s="10" t="s">
        <v>278</v>
      </c>
      <c r="C350" s="10" t="s">
        <v>495</v>
      </c>
      <c r="D350" s="10" t="s">
        <v>112</v>
      </c>
      <c r="E350" s="10" t="n">
        <v>30</v>
      </c>
      <c r="F350" s="10" t="n">
        <v>5445.04</v>
      </c>
      <c r="G350" s="10" t="s">
        <v>462</v>
      </c>
      <c r="H350" s="11" t="str">
        <f aca="false">IF(G350="","Open","Paid")</f>
        <v>Paid</v>
      </c>
      <c r="I350" s="11" t="n">
        <f aca="false">IF(G350="","",DATEVALUE(G350)-DATEVALUE(C350))</f>
        <v>37</v>
      </c>
      <c r="J350" s="11" t="n">
        <f aca="true">IF(G350="",TODAY()-DATEVALUE(D350),DATEVALUE(G350)-DATEVALUE(D350))</f>
        <v>7</v>
      </c>
      <c r="K350" s="11" t="str">
        <f aca="false">IF(J350&lt;=0,"Current",IF(J350&lt;=30,"1-30 days",IF(J350&lt;=60,"31-60 days",IF(J350&lt;=90,"61-90 days","90+ days"))))</f>
        <v>1-30 days</v>
      </c>
    </row>
    <row r="351" customFormat="false" ht="15" hidden="false" customHeight="false" outlineLevel="0" collapsed="false">
      <c r="A351" s="10" t="s">
        <v>781</v>
      </c>
      <c r="B351" s="10" t="s">
        <v>144</v>
      </c>
      <c r="C351" s="10" t="s">
        <v>43</v>
      </c>
      <c r="D351" s="10" t="s">
        <v>44</v>
      </c>
      <c r="E351" s="10" t="n">
        <v>45</v>
      </c>
      <c r="F351" s="10" t="n">
        <v>9781.6</v>
      </c>
      <c r="G351" s="10"/>
      <c r="H351" s="11" t="str">
        <f aca="false">IF(G351="","Open","Paid")</f>
        <v>Open</v>
      </c>
      <c r="I351" s="11" t="str">
        <f aca="false">IF(G351="","",DATEVALUE(G351)-DATEVALUE(C351))</f>
        <v/>
      </c>
      <c r="J351" s="11" t="n">
        <f aca="true">IF(G351="",TODAY()-DATEVALUE(D351),DATEVALUE(G351)-DATEVALUE(D351))</f>
        <v>-8</v>
      </c>
      <c r="K351" s="11" t="str">
        <f aca="false">IF(J351&lt;=0,"Current",IF(J351&lt;=30,"1-30 days",IF(J351&lt;=60,"31-60 days",IF(J351&lt;=90,"61-90 days","90+ days"))))</f>
        <v>Current</v>
      </c>
    </row>
    <row r="352" customFormat="false" ht="15" hidden="false" customHeight="false" outlineLevel="0" collapsed="false">
      <c r="A352" s="10" t="s">
        <v>782</v>
      </c>
      <c r="B352" s="10" t="s">
        <v>167</v>
      </c>
      <c r="C352" s="10" t="s">
        <v>378</v>
      </c>
      <c r="D352" s="10" t="s">
        <v>201</v>
      </c>
      <c r="E352" s="10" t="n">
        <v>30</v>
      </c>
      <c r="F352" s="10" t="n">
        <v>4267.29</v>
      </c>
      <c r="G352" s="10" t="s">
        <v>783</v>
      </c>
      <c r="H352" s="11" t="str">
        <f aca="false">IF(G352="","Open","Paid")</f>
        <v>Paid</v>
      </c>
      <c r="I352" s="11" t="n">
        <f aca="false">IF(G352="","",DATEVALUE(G352)-DATEVALUE(C352))</f>
        <v>107</v>
      </c>
      <c r="J352" s="11" t="n">
        <f aca="true">IF(G352="",TODAY()-DATEVALUE(D352),DATEVALUE(G352)-DATEVALUE(D352))</f>
        <v>77</v>
      </c>
      <c r="K352" s="11" t="str">
        <f aca="false">IF(J352&lt;=0,"Current",IF(J352&lt;=30,"1-30 days",IF(J352&lt;=60,"31-60 days",IF(J352&lt;=90,"61-90 days","90+ days"))))</f>
        <v>61-90 days</v>
      </c>
    </row>
    <row r="353" customFormat="false" ht="15" hidden="false" customHeight="false" outlineLevel="0" collapsed="false">
      <c r="A353" s="10" t="s">
        <v>784</v>
      </c>
      <c r="B353" s="10" t="s">
        <v>33</v>
      </c>
      <c r="C353" s="10" t="s">
        <v>440</v>
      </c>
      <c r="D353" s="10" t="s">
        <v>336</v>
      </c>
      <c r="E353" s="10" t="n">
        <v>30</v>
      </c>
      <c r="F353" s="10" t="n">
        <v>8720.9</v>
      </c>
      <c r="G353" s="10" t="s">
        <v>367</v>
      </c>
      <c r="H353" s="11" t="str">
        <f aca="false">IF(G353="","Open","Paid")</f>
        <v>Paid</v>
      </c>
      <c r="I353" s="11" t="n">
        <f aca="false">IF(G353="","",DATEVALUE(G353)-DATEVALUE(C353))</f>
        <v>31</v>
      </c>
      <c r="J353" s="11" t="n">
        <f aca="true">IF(G353="",TODAY()-DATEVALUE(D353),DATEVALUE(G353)-DATEVALUE(D353))</f>
        <v>1</v>
      </c>
      <c r="K353" s="11" t="str">
        <f aca="false">IF(J353&lt;=0,"Current",IF(J353&lt;=30,"1-30 days",IF(J353&lt;=60,"31-60 days",IF(J353&lt;=90,"61-90 days","90+ days"))))</f>
        <v>1-30 days</v>
      </c>
    </row>
    <row r="354" customFormat="false" ht="15" hidden="false" customHeight="false" outlineLevel="0" collapsed="false">
      <c r="A354" s="10" t="s">
        <v>785</v>
      </c>
      <c r="B354" s="10" t="s">
        <v>338</v>
      </c>
      <c r="C354" s="10" t="s">
        <v>266</v>
      </c>
      <c r="D354" s="10" t="s">
        <v>267</v>
      </c>
      <c r="E354" s="10" t="n">
        <v>30</v>
      </c>
      <c r="F354" s="10" t="n">
        <v>4316.38</v>
      </c>
      <c r="G354" s="10" t="s">
        <v>721</v>
      </c>
      <c r="H354" s="11" t="str">
        <f aca="false">IF(G354="","Open","Paid")</f>
        <v>Paid</v>
      </c>
      <c r="I354" s="11" t="n">
        <f aca="false">IF(G354="","",DATEVALUE(G354)-DATEVALUE(C354))</f>
        <v>29</v>
      </c>
      <c r="J354" s="11" t="n">
        <f aca="true">IF(G354="",TODAY()-DATEVALUE(D354),DATEVALUE(G354)-DATEVALUE(D354))</f>
        <v>-1</v>
      </c>
      <c r="K354" s="11" t="str">
        <f aca="false">IF(J354&lt;=0,"Current",IF(J354&lt;=30,"1-30 days",IF(J354&lt;=60,"31-60 days",IF(J354&lt;=90,"61-90 days","90+ days"))))</f>
        <v>Current</v>
      </c>
    </row>
    <row r="355" customFormat="false" ht="15" hidden="false" customHeight="false" outlineLevel="0" collapsed="false">
      <c r="A355" s="10" t="s">
        <v>786</v>
      </c>
      <c r="B355" s="10" t="s">
        <v>144</v>
      </c>
      <c r="C355" s="10" t="s">
        <v>354</v>
      </c>
      <c r="D355" s="10" t="s">
        <v>65</v>
      </c>
      <c r="E355" s="10" t="n">
        <v>45</v>
      </c>
      <c r="F355" s="10" t="n">
        <v>6852.65</v>
      </c>
      <c r="G355" s="10" t="s">
        <v>99</v>
      </c>
      <c r="H355" s="11" t="str">
        <f aca="false">IF(G355="","Open","Paid")</f>
        <v>Paid</v>
      </c>
      <c r="I355" s="11" t="n">
        <f aca="false">IF(G355="","",DATEVALUE(G355)-DATEVALUE(C355))</f>
        <v>37</v>
      </c>
      <c r="J355" s="11" t="n">
        <f aca="true">IF(G355="",TODAY()-DATEVALUE(D355),DATEVALUE(G355)-DATEVALUE(D355))</f>
        <v>-8</v>
      </c>
      <c r="K355" s="11" t="str">
        <f aca="false">IF(J355&lt;=0,"Current",IF(J355&lt;=30,"1-30 days",IF(J355&lt;=60,"31-60 days",IF(J355&lt;=90,"61-90 days","90+ days"))))</f>
        <v>Current</v>
      </c>
    </row>
    <row r="356" customFormat="false" ht="15" hidden="false" customHeight="false" outlineLevel="0" collapsed="false">
      <c r="A356" s="10" t="s">
        <v>787</v>
      </c>
      <c r="B356" s="10" t="s">
        <v>260</v>
      </c>
      <c r="C356" s="10" t="s">
        <v>140</v>
      </c>
      <c r="D356" s="10" t="s">
        <v>591</v>
      </c>
      <c r="E356" s="10" t="n">
        <v>30</v>
      </c>
      <c r="F356" s="10" t="n">
        <v>5768.06</v>
      </c>
      <c r="G356" s="10" t="s">
        <v>592</v>
      </c>
      <c r="H356" s="11" t="str">
        <f aca="false">IF(G356="","Open","Paid")</f>
        <v>Paid</v>
      </c>
      <c r="I356" s="11" t="n">
        <f aca="false">IF(G356="","",DATEVALUE(G356)-DATEVALUE(C356))</f>
        <v>36</v>
      </c>
      <c r="J356" s="11" t="n">
        <f aca="true">IF(G356="",TODAY()-DATEVALUE(D356),DATEVALUE(G356)-DATEVALUE(D356))</f>
        <v>6</v>
      </c>
      <c r="K356" s="11" t="str">
        <f aca="false">IF(J356&lt;=0,"Current",IF(J356&lt;=30,"1-30 days",IF(J356&lt;=60,"31-60 days",IF(J356&lt;=90,"61-90 days","90+ days"))))</f>
        <v>1-30 days</v>
      </c>
    </row>
    <row r="357" customFormat="false" ht="15" hidden="false" customHeight="false" outlineLevel="0" collapsed="false">
      <c r="A357" s="10" t="s">
        <v>788</v>
      </c>
      <c r="B357" s="10" t="s">
        <v>585</v>
      </c>
      <c r="C357" s="10" t="s">
        <v>100</v>
      </c>
      <c r="D357" s="10" t="s">
        <v>456</v>
      </c>
      <c r="E357" s="10" t="n">
        <v>45</v>
      </c>
      <c r="F357" s="10" t="n">
        <v>2125.69</v>
      </c>
      <c r="G357" s="10" t="s">
        <v>173</v>
      </c>
      <c r="H357" s="11" t="str">
        <f aca="false">IF(G357="","Open","Paid")</f>
        <v>Paid</v>
      </c>
      <c r="I357" s="11" t="n">
        <f aca="false">IF(G357="","",DATEVALUE(G357)-DATEVALUE(C357))</f>
        <v>50</v>
      </c>
      <c r="J357" s="11" t="n">
        <f aca="true">IF(G357="",TODAY()-DATEVALUE(D357),DATEVALUE(G357)-DATEVALUE(D357))</f>
        <v>5</v>
      </c>
      <c r="K357" s="11" t="str">
        <f aca="false">IF(J357&lt;=0,"Current",IF(J357&lt;=30,"1-30 days",IF(J357&lt;=60,"31-60 days",IF(J357&lt;=90,"61-90 days","90+ days"))))</f>
        <v>1-30 days</v>
      </c>
    </row>
    <row r="358" customFormat="false" ht="15" hidden="false" customHeight="false" outlineLevel="0" collapsed="false">
      <c r="A358" s="10" t="s">
        <v>789</v>
      </c>
      <c r="B358" s="10" t="s">
        <v>217</v>
      </c>
      <c r="C358" s="10" t="s">
        <v>271</v>
      </c>
      <c r="D358" s="10" t="s">
        <v>720</v>
      </c>
      <c r="E358" s="10" t="n">
        <v>45</v>
      </c>
      <c r="F358" s="10" t="n">
        <v>2496.12</v>
      </c>
      <c r="G358" s="10" t="s">
        <v>385</v>
      </c>
      <c r="H358" s="11" t="str">
        <f aca="false">IF(G358="","Open","Paid")</f>
        <v>Paid</v>
      </c>
      <c r="I358" s="11" t="n">
        <f aca="false">IF(G358="","",DATEVALUE(G358)-DATEVALUE(C358))</f>
        <v>81</v>
      </c>
      <c r="J358" s="11" t="n">
        <f aca="true">IF(G358="",TODAY()-DATEVALUE(D358),DATEVALUE(G358)-DATEVALUE(D358))</f>
        <v>36</v>
      </c>
      <c r="K358" s="11" t="str">
        <f aca="false">IF(J358&lt;=0,"Current",IF(J358&lt;=30,"1-30 days",IF(J358&lt;=60,"31-60 days",IF(J358&lt;=90,"61-90 days","90+ days"))))</f>
        <v>31-60 days</v>
      </c>
    </row>
    <row r="359" customFormat="false" ht="15" hidden="false" customHeight="false" outlineLevel="0" collapsed="false">
      <c r="A359" s="10" t="s">
        <v>790</v>
      </c>
      <c r="B359" s="10" t="s">
        <v>23</v>
      </c>
      <c r="C359" s="10" t="s">
        <v>634</v>
      </c>
      <c r="D359" s="10" t="s">
        <v>209</v>
      </c>
      <c r="E359" s="10" t="n">
        <v>30</v>
      </c>
      <c r="F359" s="10" t="n">
        <v>10779.16</v>
      </c>
      <c r="G359" s="10" t="s">
        <v>481</v>
      </c>
      <c r="H359" s="11" t="str">
        <f aca="false">IF(G359="","Open","Paid")</f>
        <v>Paid</v>
      </c>
      <c r="I359" s="11" t="n">
        <f aca="false">IF(G359="","",DATEVALUE(G359)-DATEVALUE(C359))</f>
        <v>20</v>
      </c>
      <c r="J359" s="11" t="n">
        <f aca="true">IF(G359="",TODAY()-DATEVALUE(D359),DATEVALUE(G359)-DATEVALUE(D359))</f>
        <v>-10</v>
      </c>
      <c r="K359" s="11" t="str">
        <f aca="false">IF(J359&lt;=0,"Current",IF(J359&lt;=30,"1-30 days",IF(J359&lt;=60,"31-60 days",IF(J359&lt;=90,"61-90 days","90+ days"))))</f>
        <v>Current</v>
      </c>
    </row>
    <row r="360" customFormat="false" ht="15" hidden="false" customHeight="false" outlineLevel="0" collapsed="false">
      <c r="A360" s="10" t="s">
        <v>791</v>
      </c>
      <c r="B360" s="10" t="s">
        <v>139</v>
      </c>
      <c r="C360" s="10" t="s">
        <v>252</v>
      </c>
      <c r="D360" s="10" t="s">
        <v>69</v>
      </c>
      <c r="E360" s="10" t="n">
        <v>45</v>
      </c>
      <c r="F360" s="10" t="n">
        <v>7716.33</v>
      </c>
      <c r="G360" s="10" t="s">
        <v>592</v>
      </c>
      <c r="H360" s="11" t="str">
        <f aca="false">IF(G360="","Open","Paid")</f>
        <v>Paid</v>
      </c>
      <c r="I360" s="11" t="n">
        <f aca="false">IF(G360="","",DATEVALUE(G360)-DATEVALUE(C360))</f>
        <v>46</v>
      </c>
      <c r="J360" s="11" t="n">
        <f aca="true">IF(G360="",TODAY()-DATEVALUE(D360),DATEVALUE(G360)-DATEVALUE(D360))</f>
        <v>1</v>
      </c>
      <c r="K360" s="11" t="str">
        <f aca="false">IF(J360&lt;=0,"Current",IF(J360&lt;=30,"1-30 days",IF(J360&lt;=60,"31-60 days",IF(J360&lt;=90,"61-90 days","90+ days"))))</f>
        <v>1-30 days</v>
      </c>
    </row>
    <row r="361" customFormat="false" ht="15" hidden="false" customHeight="false" outlineLevel="0" collapsed="false">
      <c r="A361" s="10" t="s">
        <v>792</v>
      </c>
      <c r="B361" s="10" t="s">
        <v>55</v>
      </c>
      <c r="C361" s="10" t="s">
        <v>222</v>
      </c>
      <c r="D361" s="10" t="s">
        <v>186</v>
      </c>
      <c r="E361" s="10" t="n">
        <v>45</v>
      </c>
      <c r="F361" s="10" t="n">
        <v>4498.05</v>
      </c>
      <c r="G361" s="10" t="s">
        <v>646</v>
      </c>
      <c r="H361" s="11" t="str">
        <f aca="false">IF(G361="","Open","Paid")</f>
        <v>Paid</v>
      </c>
      <c r="I361" s="11" t="n">
        <f aca="false">IF(G361="","",DATEVALUE(G361)-DATEVALUE(C361))</f>
        <v>44</v>
      </c>
      <c r="J361" s="11" t="n">
        <f aca="true">IF(G361="",TODAY()-DATEVALUE(D361),DATEVALUE(G361)-DATEVALUE(D361))</f>
        <v>-1</v>
      </c>
      <c r="K361" s="11" t="str">
        <f aca="false">IF(J361&lt;=0,"Current",IF(J361&lt;=30,"1-30 days",IF(J361&lt;=60,"31-60 days",IF(J361&lt;=90,"61-90 days","90+ days"))))</f>
        <v>Current</v>
      </c>
    </row>
    <row r="362" customFormat="false" ht="15" hidden="false" customHeight="false" outlineLevel="0" collapsed="false">
      <c r="A362" s="10" t="s">
        <v>793</v>
      </c>
      <c r="B362" s="10" t="s">
        <v>171</v>
      </c>
      <c r="C362" s="10" t="s">
        <v>794</v>
      </c>
      <c r="D362" s="10" t="s">
        <v>125</v>
      </c>
      <c r="E362" s="10" t="n">
        <v>30</v>
      </c>
      <c r="F362" s="10" t="n">
        <v>4137.43</v>
      </c>
      <c r="G362" s="10" t="s">
        <v>271</v>
      </c>
      <c r="H362" s="11" t="str">
        <f aca="false">IF(G362="","Open","Paid")</f>
        <v>Paid</v>
      </c>
      <c r="I362" s="11" t="n">
        <f aca="false">IF(G362="","",DATEVALUE(G362)-DATEVALUE(C362))</f>
        <v>60</v>
      </c>
      <c r="J362" s="11" t="n">
        <f aca="true">IF(G362="",TODAY()-DATEVALUE(D362),DATEVALUE(G362)-DATEVALUE(D362))</f>
        <v>30</v>
      </c>
      <c r="K362" s="11" t="str">
        <f aca="false">IF(J362&lt;=0,"Current",IF(J362&lt;=30,"1-30 days",IF(J362&lt;=60,"31-60 days",IF(J362&lt;=90,"61-90 days","90+ days"))))</f>
        <v>1-30 days</v>
      </c>
    </row>
    <row r="363" customFormat="false" ht="15" hidden="false" customHeight="false" outlineLevel="0" collapsed="false">
      <c r="A363" s="10" t="s">
        <v>795</v>
      </c>
      <c r="B363" s="10" t="s">
        <v>388</v>
      </c>
      <c r="C363" s="10" t="s">
        <v>149</v>
      </c>
      <c r="D363" s="10" t="s">
        <v>509</v>
      </c>
      <c r="E363" s="10" t="n">
        <v>60</v>
      </c>
      <c r="F363" s="10" t="n">
        <v>2804.93</v>
      </c>
      <c r="G363" s="10" t="s">
        <v>183</v>
      </c>
      <c r="H363" s="11" t="str">
        <f aca="false">IF(G363="","Open","Paid")</f>
        <v>Paid</v>
      </c>
      <c r="I363" s="11" t="n">
        <f aca="false">IF(G363="","",DATEVALUE(G363)-DATEVALUE(C363))</f>
        <v>42</v>
      </c>
      <c r="J363" s="11" t="n">
        <f aca="true">IF(G363="",TODAY()-DATEVALUE(D363),DATEVALUE(G363)-DATEVALUE(D363))</f>
        <v>-18</v>
      </c>
      <c r="K363" s="11" t="str">
        <f aca="false">IF(J363&lt;=0,"Current",IF(J363&lt;=30,"1-30 days",IF(J363&lt;=60,"31-60 days",IF(J363&lt;=90,"61-90 days","90+ days"))))</f>
        <v>Current</v>
      </c>
    </row>
    <row r="364" customFormat="false" ht="15" hidden="false" customHeight="false" outlineLevel="0" collapsed="false">
      <c r="A364" s="10" t="s">
        <v>796</v>
      </c>
      <c r="B364" s="10" t="s">
        <v>175</v>
      </c>
      <c r="C364" s="10" t="s">
        <v>230</v>
      </c>
      <c r="D364" s="10" t="s">
        <v>352</v>
      </c>
      <c r="E364" s="10" t="n">
        <v>30</v>
      </c>
      <c r="F364" s="10" t="n">
        <v>6058.94</v>
      </c>
      <c r="G364" s="10" t="s">
        <v>393</v>
      </c>
      <c r="H364" s="11" t="str">
        <f aca="false">IF(G364="","Open","Paid")</f>
        <v>Paid</v>
      </c>
      <c r="I364" s="11" t="n">
        <f aca="false">IF(G364="","",DATEVALUE(G364)-DATEVALUE(C364))</f>
        <v>36</v>
      </c>
      <c r="J364" s="11" t="n">
        <f aca="true">IF(G364="",TODAY()-DATEVALUE(D364),DATEVALUE(G364)-DATEVALUE(D364))</f>
        <v>6</v>
      </c>
      <c r="K364" s="11" t="str">
        <f aca="false">IF(J364&lt;=0,"Current",IF(J364&lt;=30,"1-30 days",IF(J364&lt;=60,"31-60 days",IF(J364&lt;=90,"61-90 days","90+ days"))))</f>
        <v>1-30 days</v>
      </c>
    </row>
    <row r="365" customFormat="false" ht="15" hidden="false" customHeight="false" outlineLevel="0" collapsed="false">
      <c r="A365" s="10" t="s">
        <v>797</v>
      </c>
      <c r="B365" s="10" t="s">
        <v>217</v>
      </c>
      <c r="C365" s="10" t="s">
        <v>367</v>
      </c>
      <c r="D365" s="10" t="s">
        <v>368</v>
      </c>
      <c r="E365" s="10" t="n">
        <v>45</v>
      </c>
      <c r="F365" s="10" t="n">
        <v>2970.16</v>
      </c>
      <c r="G365" s="10" t="s">
        <v>666</v>
      </c>
      <c r="H365" s="11" t="str">
        <f aca="false">IF(G365="","Open","Paid")</f>
        <v>Paid</v>
      </c>
      <c r="I365" s="11" t="n">
        <f aca="false">IF(G365="","",DATEVALUE(G365)-DATEVALUE(C365))</f>
        <v>13</v>
      </c>
      <c r="J365" s="11" t="n">
        <f aca="true">IF(G365="",TODAY()-DATEVALUE(D365),DATEVALUE(G365)-DATEVALUE(D365))</f>
        <v>-32</v>
      </c>
      <c r="K365" s="11" t="str">
        <f aca="false">IF(J365&lt;=0,"Current",IF(J365&lt;=30,"1-30 days",IF(J365&lt;=60,"31-60 days",IF(J365&lt;=90,"61-90 days","90+ days"))))</f>
        <v>Current</v>
      </c>
    </row>
    <row r="366" customFormat="false" ht="15" hidden="false" customHeight="false" outlineLevel="0" collapsed="false">
      <c r="A366" s="10" t="s">
        <v>798</v>
      </c>
      <c r="B366" s="10" t="s">
        <v>102</v>
      </c>
      <c r="C366" s="10" t="s">
        <v>799</v>
      </c>
      <c r="D366" s="10" t="s">
        <v>252</v>
      </c>
      <c r="E366" s="10" t="n">
        <v>60</v>
      </c>
      <c r="F366" s="10" t="n">
        <v>3803.89</v>
      </c>
      <c r="G366" s="10" t="s">
        <v>462</v>
      </c>
      <c r="H366" s="11" t="str">
        <f aca="false">IF(G366="","Open","Paid")</f>
        <v>Paid</v>
      </c>
      <c r="I366" s="11" t="n">
        <f aca="false">IF(G366="","",DATEVALUE(G366)-DATEVALUE(C366))</f>
        <v>62</v>
      </c>
      <c r="J366" s="11" t="n">
        <f aca="true">IF(G366="",TODAY()-DATEVALUE(D366),DATEVALUE(G366)-DATEVALUE(D366))</f>
        <v>2</v>
      </c>
      <c r="K366" s="11" t="str">
        <f aca="false">IF(J366&lt;=0,"Current",IF(J366&lt;=30,"1-30 days",IF(J366&lt;=60,"31-60 days",IF(J366&lt;=90,"61-90 days","90+ days"))))</f>
        <v>1-30 days</v>
      </c>
    </row>
    <row r="367" customFormat="false" ht="15" hidden="false" customHeight="false" outlineLevel="0" collapsed="false">
      <c r="A367" s="10" t="s">
        <v>800</v>
      </c>
      <c r="B367" s="10" t="s">
        <v>652</v>
      </c>
      <c r="C367" s="10" t="s">
        <v>349</v>
      </c>
      <c r="D367" s="10" t="s">
        <v>580</v>
      </c>
      <c r="E367" s="10" t="n">
        <v>30</v>
      </c>
      <c r="F367" s="10" t="n">
        <v>3179.75</v>
      </c>
      <c r="G367" s="10" t="s">
        <v>286</v>
      </c>
      <c r="H367" s="11" t="str">
        <f aca="false">IF(G367="","Open","Paid")</f>
        <v>Paid</v>
      </c>
      <c r="I367" s="11" t="n">
        <f aca="false">IF(G367="","",DATEVALUE(G367)-DATEVALUE(C367))</f>
        <v>24</v>
      </c>
      <c r="J367" s="11" t="n">
        <f aca="true">IF(G367="",TODAY()-DATEVALUE(D367),DATEVALUE(G367)-DATEVALUE(D367))</f>
        <v>-6</v>
      </c>
      <c r="K367" s="11" t="str">
        <f aca="false">IF(J367&lt;=0,"Current",IF(J367&lt;=30,"1-30 days",IF(J367&lt;=60,"31-60 days",IF(J367&lt;=90,"61-90 days","90+ days"))))</f>
        <v>Current</v>
      </c>
    </row>
    <row r="368" customFormat="false" ht="15" hidden="false" customHeight="false" outlineLevel="0" collapsed="false">
      <c r="A368" s="10" t="s">
        <v>801</v>
      </c>
      <c r="B368" s="10" t="s">
        <v>180</v>
      </c>
      <c r="C368" s="10" t="s">
        <v>24</v>
      </c>
      <c r="D368" s="10" t="s">
        <v>25</v>
      </c>
      <c r="E368" s="10" t="n">
        <v>45</v>
      </c>
      <c r="F368" s="10" t="n">
        <v>7443.74</v>
      </c>
      <c r="G368" s="10" t="s">
        <v>550</v>
      </c>
      <c r="H368" s="11" t="str">
        <f aca="false">IF(G368="","Open","Paid")</f>
        <v>Paid</v>
      </c>
      <c r="I368" s="11" t="n">
        <f aca="false">IF(G368="","",DATEVALUE(G368)-DATEVALUE(C368))</f>
        <v>60</v>
      </c>
      <c r="J368" s="11" t="n">
        <f aca="true">IF(G368="",TODAY()-DATEVALUE(D368),DATEVALUE(G368)-DATEVALUE(D368))</f>
        <v>15</v>
      </c>
      <c r="K368" s="11" t="str">
        <f aca="false">IF(J368&lt;=0,"Current",IF(J368&lt;=30,"1-30 days",IF(J368&lt;=60,"31-60 days",IF(J368&lt;=90,"61-90 days","90+ days"))))</f>
        <v>1-30 days</v>
      </c>
    </row>
    <row r="369" customFormat="false" ht="15" hidden="false" customHeight="false" outlineLevel="0" collapsed="false">
      <c r="A369" s="10" t="s">
        <v>802</v>
      </c>
      <c r="B369" s="10" t="s">
        <v>92</v>
      </c>
      <c r="C369" s="10" t="s">
        <v>494</v>
      </c>
      <c r="D369" s="10" t="s">
        <v>495</v>
      </c>
      <c r="E369" s="10" t="n">
        <v>30</v>
      </c>
      <c r="F369" s="10" t="n">
        <v>4384.04</v>
      </c>
      <c r="G369" s="10" t="s">
        <v>643</v>
      </c>
      <c r="H369" s="11" t="str">
        <f aca="false">IF(G369="","Open","Paid")</f>
        <v>Paid</v>
      </c>
      <c r="I369" s="11" t="n">
        <f aca="false">IF(G369="","",DATEVALUE(G369)-DATEVALUE(C369))</f>
        <v>24</v>
      </c>
      <c r="J369" s="11" t="n">
        <f aca="true">IF(G369="",TODAY()-DATEVALUE(D369),DATEVALUE(G369)-DATEVALUE(D369))</f>
        <v>-6</v>
      </c>
      <c r="K369" s="11" t="str">
        <f aca="false">IF(J369&lt;=0,"Current",IF(J369&lt;=30,"1-30 days",IF(J369&lt;=60,"31-60 days",IF(J369&lt;=90,"61-90 days","90+ days"))))</f>
        <v>Current</v>
      </c>
    </row>
    <row r="370" customFormat="false" ht="15" hidden="false" customHeight="false" outlineLevel="0" collapsed="false">
      <c r="A370" s="10" t="s">
        <v>803</v>
      </c>
      <c r="B370" s="10" t="s">
        <v>175</v>
      </c>
      <c r="C370" s="10" t="s">
        <v>536</v>
      </c>
      <c r="D370" s="10" t="s">
        <v>169</v>
      </c>
      <c r="E370" s="10" t="n">
        <v>45</v>
      </c>
      <c r="F370" s="10" t="n">
        <v>5223.15</v>
      </c>
      <c r="G370" s="10" t="s">
        <v>331</v>
      </c>
      <c r="H370" s="11" t="str">
        <f aca="false">IF(G370="","Open","Paid")</f>
        <v>Paid</v>
      </c>
      <c r="I370" s="11" t="n">
        <f aca="false">IF(G370="","",DATEVALUE(G370)-DATEVALUE(C370))</f>
        <v>91</v>
      </c>
      <c r="J370" s="11" t="n">
        <f aca="true">IF(G370="",TODAY()-DATEVALUE(D370),DATEVALUE(G370)-DATEVALUE(D370))</f>
        <v>46</v>
      </c>
      <c r="K370" s="11" t="str">
        <f aca="false">IF(J370&lt;=0,"Current",IF(J370&lt;=30,"1-30 days",IF(J370&lt;=60,"31-60 days",IF(J370&lt;=90,"61-90 days","90+ days"))))</f>
        <v>31-60 days</v>
      </c>
    </row>
    <row r="371" customFormat="false" ht="15" hidden="false" customHeight="false" outlineLevel="0" collapsed="false">
      <c r="A371" s="10" t="s">
        <v>804</v>
      </c>
      <c r="B371" s="10" t="s">
        <v>46</v>
      </c>
      <c r="C371" s="10" t="s">
        <v>805</v>
      </c>
      <c r="D371" s="10" t="s">
        <v>35</v>
      </c>
      <c r="E371" s="10" t="n">
        <v>45</v>
      </c>
      <c r="F371" s="10" t="n">
        <v>2156.57</v>
      </c>
      <c r="G371" s="10" t="s">
        <v>485</v>
      </c>
      <c r="H371" s="11" t="str">
        <f aca="false">IF(G371="","Open","Paid")</f>
        <v>Paid</v>
      </c>
      <c r="I371" s="11" t="n">
        <f aca="false">IF(G371="","",DATEVALUE(G371)-DATEVALUE(C371))</f>
        <v>40</v>
      </c>
      <c r="J371" s="11" t="n">
        <f aca="true">IF(G371="",TODAY()-DATEVALUE(D371),DATEVALUE(G371)-DATEVALUE(D371))</f>
        <v>-5</v>
      </c>
      <c r="K371" s="11" t="str">
        <f aca="false">IF(J371&lt;=0,"Current",IF(J371&lt;=30,"1-30 days",IF(J371&lt;=60,"31-60 days",IF(J371&lt;=90,"61-90 days","90+ days"))))</f>
        <v>Current</v>
      </c>
    </row>
    <row r="372" customFormat="false" ht="15" hidden="false" customHeight="false" outlineLevel="0" collapsed="false">
      <c r="A372" s="10" t="s">
        <v>806</v>
      </c>
      <c r="B372" s="10" t="s">
        <v>175</v>
      </c>
      <c r="C372" s="10" t="s">
        <v>51</v>
      </c>
      <c r="D372" s="10" t="s">
        <v>52</v>
      </c>
      <c r="E372" s="10" t="n">
        <v>30</v>
      </c>
      <c r="F372" s="10" t="n">
        <v>3165.39</v>
      </c>
      <c r="G372" s="10" t="s">
        <v>412</v>
      </c>
      <c r="H372" s="11" t="str">
        <f aca="false">IF(G372="","Open","Paid")</f>
        <v>Paid</v>
      </c>
      <c r="I372" s="11" t="n">
        <f aca="false">IF(G372="","",DATEVALUE(G372)-DATEVALUE(C372))</f>
        <v>31</v>
      </c>
      <c r="J372" s="11" t="n">
        <f aca="true">IF(G372="",TODAY()-DATEVALUE(D372),DATEVALUE(G372)-DATEVALUE(D372))</f>
        <v>1</v>
      </c>
      <c r="K372" s="11" t="str">
        <f aca="false">IF(J372&lt;=0,"Current",IF(J372&lt;=30,"1-30 days",IF(J372&lt;=60,"31-60 days",IF(J372&lt;=90,"61-90 days","90+ days"))))</f>
        <v>1-30 days</v>
      </c>
    </row>
    <row r="373" customFormat="false" ht="15" hidden="false" customHeight="false" outlineLevel="0" collapsed="false">
      <c r="A373" s="10" t="s">
        <v>807</v>
      </c>
      <c r="B373" s="10" t="s">
        <v>276</v>
      </c>
      <c r="C373" s="10" t="s">
        <v>404</v>
      </c>
      <c r="D373" s="10" t="s">
        <v>176</v>
      </c>
      <c r="E373" s="10" t="n">
        <v>30</v>
      </c>
      <c r="F373" s="10" t="n">
        <v>5292.29</v>
      </c>
      <c r="G373" s="10" t="s">
        <v>330</v>
      </c>
      <c r="H373" s="11" t="str">
        <f aca="false">IF(G373="","Open","Paid")</f>
        <v>Paid</v>
      </c>
      <c r="I373" s="11" t="n">
        <f aca="false">IF(G373="","",DATEVALUE(G373)-DATEVALUE(C373))</f>
        <v>38</v>
      </c>
      <c r="J373" s="11" t="n">
        <f aca="true">IF(G373="",TODAY()-DATEVALUE(D373),DATEVALUE(G373)-DATEVALUE(D373))</f>
        <v>8</v>
      </c>
      <c r="K373" s="11" t="str">
        <f aca="false">IF(J373&lt;=0,"Current",IF(J373&lt;=30,"1-30 days",IF(J373&lt;=60,"31-60 days",IF(J373&lt;=90,"61-90 days","90+ days"))))</f>
        <v>1-30 days</v>
      </c>
    </row>
    <row r="374" customFormat="false" ht="15" hidden="false" customHeight="false" outlineLevel="0" collapsed="false">
      <c r="A374" s="10" t="s">
        <v>808</v>
      </c>
      <c r="B374" s="10" t="s">
        <v>147</v>
      </c>
      <c r="C374" s="10" t="s">
        <v>356</v>
      </c>
      <c r="D374" s="10" t="s">
        <v>263</v>
      </c>
      <c r="E374" s="10" t="n">
        <v>30</v>
      </c>
      <c r="F374" s="10" t="n">
        <v>1483.03</v>
      </c>
      <c r="G374" s="10" t="s">
        <v>358</v>
      </c>
      <c r="H374" s="11" t="str">
        <f aca="false">IF(G374="","Open","Paid")</f>
        <v>Paid</v>
      </c>
      <c r="I374" s="11" t="n">
        <f aca="false">IF(G374="","",DATEVALUE(G374)-DATEVALUE(C374))</f>
        <v>24</v>
      </c>
      <c r="J374" s="11" t="n">
        <f aca="true">IF(G374="",TODAY()-DATEVALUE(D374),DATEVALUE(G374)-DATEVALUE(D374))</f>
        <v>-6</v>
      </c>
      <c r="K374" s="11" t="str">
        <f aca="false">IF(J374&lt;=0,"Current",IF(J374&lt;=30,"1-30 days",IF(J374&lt;=60,"31-60 days",IF(J374&lt;=90,"61-90 days","90+ days"))))</f>
        <v>Current</v>
      </c>
    </row>
    <row r="375" customFormat="false" ht="15" hidden="false" customHeight="false" outlineLevel="0" collapsed="false">
      <c r="A375" s="10" t="s">
        <v>809</v>
      </c>
      <c r="B375" s="10" t="s">
        <v>77</v>
      </c>
      <c r="C375" s="10" t="s">
        <v>547</v>
      </c>
      <c r="D375" s="10" t="s">
        <v>638</v>
      </c>
      <c r="E375" s="10" t="n">
        <v>30</v>
      </c>
      <c r="F375" s="10" t="n">
        <v>4182.11</v>
      </c>
      <c r="G375" s="10" t="s">
        <v>227</v>
      </c>
      <c r="H375" s="11" t="str">
        <f aca="false">IF(G375="","Open","Paid")</f>
        <v>Paid</v>
      </c>
      <c r="I375" s="11" t="n">
        <f aca="false">IF(G375="","",DATEVALUE(G375)-DATEVALUE(C375))</f>
        <v>92</v>
      </c>
      <c r="J375" s="11" t="n">
        <f aca="true">IF(G375="",TODAY()-DATEVALUE(D375),DATEVALUE(G375)-DATEVALUE(D375))</f>
        <v>62</v>
      </c>
      <c r="K375" s="11" t="str">
        <f aca="false">IF(J375&lt;=0,"Current",IF(J375&lt;=30,"1-30 days",IF(J375&lt;=60,"31-60 days",IF(J375&lt;=90,"61-90 days","90+ days"))))</f>
        <v>61-90 days</v>
      </c>
    </row>
    <row r="376" customFormat="false" ht="15" hidden="false" customHeight="false" outlineLevel="0" collapsed="false">
      <c r="A376" s="10" t="s">
        <v>810</v>
      </c>
      <c r="B376" s="10" t="s">
        <v>243</v>
      </c>
      <c r="C376" s="10" t="s">
        <v>811</v>
      </c>
      <c r="D376" s="10" t="s">
        <v>812</v>
      </c>
      <c r="E376" s="10" t="n">
        <v>30</v>
      </c>
      <c r="F376" s="10" t="n">
        <v>4762.07</v>
      </c>
      <c r="G376" s="10" t="s">
        <v>389</v>
      </c>
      <c r="H376" s="11" t="str">
        <f aca="false">IF(G376="","Open","Paid")</f>
        <v>Paid</v>
      </c>
      <c r="I376" s="11" t="n">
        <f aca="false">IF(G376="","",DATEVALUE(G376)-DATEVALUE(C376))</f>
        <v>18</v>
      </c>
      <c r="J376" s="11" t="n">
        <f aca="true">IF(G376="",TODAY()-DATEVALUE(D376),DATEVALUE(G376)-DATEVALUE(D376))</f>
        <v>-12</v>
      </c>
      <c r="K376" s="11" t="str">
        <f aca="false">IF(J376&lt;=0,"Current",IF(J376&lt;=30,"1-30 days",IF(J376&lt;=60,"31-60 days",IF(J376&lt;=90,"61-90 days","90+ days"))))</f>
        <v>Current</v>
      </c>
    </row>
    <row r="377" customFormat="false" ht="15" hidden="false" customHeight="false" outlineLevel="0" collapsed="false">
      <c r="A377" s="10" t="s">
        <v>813</v>
      </c>
      <c r="B377" s="10" t="s">
        <v>167</v>
      </c>
      <c r="C377" s="10" t="s">
        <v>506</v>
      </c>
      <c r="D377" s="10" t="s">
        <v>103</v>
      </c>
      <c r="E377" s="10" t="n">
        <v>30</v>
      </c>
      <c r="F377" s="10" t="n">
        <v>1963.39</v>
      </c>
      <c r="G377" s="10" t="s">
        <v>226</v>
      </c>
      <c r="H377" s="11" t="str">
        <f aca="false">IF(G377="","Open","Paid")</f>
        <v>Paid</v>
      </c>
      <c r="I377" s="11" t="n">
        <f aca="false">IF(G377="","",DATEVALUE(G377)-DATEVALUE(C377))</f>
        <v>33</v>
      </c>
      <c r="J377" s="11" t="n">
        <f aca="true">IF(G377="",TODAY()-DATEVALUE(D377),DATEVALUE(G377)-DATEVALUE(D377))</f>
        <v>3</v>
      </c>
      <c r="K377" s="11" t="str">
        <f aca="false">IF(J377&lt;=0,"Current",IF(J377&lt;=30,"1-30 days",IF(J377&lt;=60,"31-60 days",IF(J377&lt;=90,"61-90 days","90+ days"))))</f>
        <v>1-30 days</v>
      </c>
    </row>
    <row r="378" customFormat="false" ht="15" hidden="false" customHeight="false" outlineLevel="0" collapsed="false">
      <c r="A378" s="10" t="s">
        <v>814</v>
      </c>
      <c r="B378" s="10" t="s">
        <v>64</v>
      </c>
      <c r="C378" s="10" t="s">
        <v>529</v>
      </c>
      <c r="D378" s="10" t="s">
        <v>48</v>
      </c>
      <c r="E378" s="10" t="n">
        <v>30</v>
      </c>
      <c r="F378" s="10" t="n">
        <v>8503.47</v>
      </c>
      <c r="G378" s="10" t="s">
        <v>83</v>
      </c>
      <c r="H378" s="11" t="str">
        <f aca="false">IF(G378="","Open","Paid")</f>
        <v>Paid</v>
      </c>
      <c r="I378" s="11" t="n">
        <f aca="false">IF(G378="","",DATEVALUE(G378)-DATEVALUE(C378))</f>
        <v>41</v>
      </c>
      <c r="J378" s="11" t="n">
        <f aca="true">IF(G378="",TODAY()-DATEVALUE(D378),DATEVALUE(G378)-DATEVALUE(D378))</f>
        <v>11</v>
      </c>
      <c r="K378" s="11" t="str">
        <f aca="false">IF(J378&lt;=0,"Current",IF(J378&lt;=30,"1-30 days",IF(J378&lt;=60,"31-60 days",IF(J378&lt;=90,"61-90 days","90+ days"))))</f>
        <v>1-30 days</v>
      </c>
    </row>
    <row r="379" customFormat="false" ht="15" hidden="false" customHeight="false" outlineLevel="0" collapsed="false">
      <c r="A379" s="10" t="s">
        <v>815</v>
      </c>
      <c r="B379" s="10" t="s">
        <v>652</v>
      </c>
      <c r="C379" s="10" t="s">
        <v>29</v>
      </c>
      <c r="D379" s="10" t="s">
        <v>30</v>
      </c>
      <c r="E379" s="10" t="n">
        <v>30</v>
      </c>
      <c r="F379" s="10" t="n">
        <v>5889.63</v>
      </c>
      <c r="G379" s="10" t="s">
        <v>580</v>
      </c>
      <c r="H379" s="11" t="str">
        <f aca="false">IF(G379="","Open","Paid")</f>
        <v>Paid</v>
      </c>
      <c r="I379" s="11" t="n">
        <f aca="false">IF(G379="","",DATEVALUE(G379)-DATEVALUE(C379))</f>
        <v>37</v>
      </c>
      <c r="J379" s="11" t="n">
        <f aca="true">IF(G379="",TODAY()-DATEVALUE(D379),DATEVALUE(G379)-DATEVALUE(D379))</f>
        <v>7</v>
      </c>
      <c r="K379" s="11" t="str">
        <f aca="false">IF(J379&lt;=0,"Current",IF(J379&lt;=30,"1-30 days",IF(J379&lt;=60,"31-60 days",IF(J379&lt;=90,"61-90 days","90+ days"))))</f>
        <v>1-30 days</v>
      </c>
    </row>
    <row r="380" customFormat="false" ht="15" hidden="false" customHeight="false" outlineLevel="0" collapsed="false">
      <c r="A380" s="10" t="s">
        <v>816</v>
      </c>
      <c r="B380" s="10" t="s">
        <v>28</v>
      </c>
      <c r="C380" s="10" t="s">
        <v>591</v>
      </c>
      <c r="D380" s="10" t="s">
        <v>90</v>
      </c>
      <c r="E380" s="10" t="n">
        <v>45</v>
      </c>
      <c r="F380" s="10" t="n">
        <v>4364.1</v>
      </c>
      <c r="G380" s="10" t="s">
        <v>219</v>
      </c>
      <c r="H380" s="11" t="str">
        <f aca="false">IF(G380="","Open","Paid")</f>
        <v>Paid</v>
      </c>
      <c r="I380" s="11" t="n">
        <f aca="false">IF(G380="","",DATEVALUE(G380)-DATEVALUE(C380))</f>
        <v>67</v>
      </c>
      <c r="J380" s="11" t="n">
        <f aca="true">IF(G380="",TODAY()-DATEVALUE(D380),DATEVALUE(G380)-DATEVALUE(D380))</f>
        <v>22</v>
      </c>
      <c r="K380" s="11" t="str">
        <f aca="false">IF(J380&lt;=0,"Current",IF(J380&lt;=30,"1-30 days",IF(J380&lt;=60,"31-60 days",IF(J380&lt;=90,"61-90 days","90+ days"))))</f>
        <v>1-30 days</v>
      </c>
    </row>
    <row r="381" customFormat="false" ht="15" hidden="false" customHeight="false" outlineLevel="0" collapsed="false">
      <c r="A381" s="10" t="s">
        <v>817</v>
      </c>
      <c r="B381" s="10" t="s">
        <v>23</v>
      </c>
      <c r="C381" s="10" t="s">
        <v>298</v>
      </c>
      <c r="D381" s="10" t="s">
        <v>643</v>
      </c>
      <c r="E381" s="10" t="n">
        <v>45</v>
      </c>
      <c r="F381" s="10" t="n">
        <v>3015.8</v>
      </c>
      <c r="G381" s="10" t="s">
        <v>116</v>
      </c>
      <c r="H381" s="11" t="str">
        <f aca="false">IF(G381="","Open","Paid")</f>
        <v>Paid</v>
      </c>
      <c r="I381" s="11" t="n">
        <f aca="false">IF(G381="","",DATEVALUE(G381)-DATEVALUE(C381))</f>
        <v>35</v>
      </c>
      <c r="J381" s="11" t="n">
        <f aca="true">IF(G381="",TODAY()-DATEVALUE(D381),DATEVALUE(G381)-DATEVALUE(D381))</f>
        <v>-10</v>
      </c>
      <c r="K381" s="11" t="str">
        <f aca="false">IF(J381&lt;=0,"Current",IF(J381&lt;=30,"1-30 days",IF(J381&lt;=60,"31-60 days",IF(J381&lt;=90,"61-90 days","90+ days"))))</f>
        <v>Current</v>
      </c>
    </row>
    <row r="382" customFormat="false" ht="15" hidden="false" customHeight="false" outlineLevel="0" collapsed="false">
      <c r="A382" s="10" t="s">
        <v>818</v>
      </c>
      <c r="B382" s="10" t="s">
        <v>221</v>
      </c>
      <c r="C382" s="10" t="s">
        <v>98</v>
      </c>
      <c r="D382" s="10" t="s">
        <v>417</v>
      </c>
      <c r="E382" s="10" t="n">
        <v>45</v>
      </c>
      <c r="F382" s="10" t="n">
        <v>1438.06</v>
      </c>
      <c r="G382" s="10" t="s">
        <v>349</v>
      </c>
      <c r="H382" s="11" t="str">
        <f aca="false">IF(G382="","Open","Paid")</f>
        <v>Paid</v>
      </c>
      <c r="I382" s="11" t="n">
        <f aca="false">IF(G382="","",DATEVALUE(G382)-DATEVALUE(C382))</f>
        <v>49</v>
      </c>
      <c r="J382" s="11" t="n">
        <f aca="true">IF(G382="",TODAY()-DATEVALUE(D382),DATEVALUE(G382)-DATEVALUE(D382))</f>
        <v>4</v>
      </c>
      <c r="K382" s="11" t="str">
        <f aca="false">IF(J382&lt;=0,"Current",IF(J382&lt;=30,"1-30 days",IF(J382&lt;=60,"31-60 days",IF(J382&lt;=90,"61-90 days","90+ days"))))</f>
        <v>1-30 days</v>
      </c>
    </row>
    <row r="383" customFormat="false" ht="15" hidden="false" customHeight="false" outlineLevel="0" collapsed="false">
      <c r="A383" s="10" t="s">
        <v>819</v>
      </c>
      <c r="B383" s="10" t="s">
        <v>270</v>
      </c>
      <c r="C383" s="10" t="s">
        <v>529</v>
      </c>
      <c r="D383" s="10" t="s">
        <v>48</v>
      </c>
      <c r="E383" s="10" t="n">
        <v>30</v>
      </c>
      <c r="F383" s="10" t="n">
        <v>8138.65</v>
      </c>
      <c r="G383" s="10" t="s">
        <v>382</v>
      </c>
      <c r="H383" s="11" t="str">
        <f aca="false">IF(G383="","Open","Paid")</f>
        <v>Paid</v>
      </c>
      <c r="I383" s="11" t="n">
        <f aca="false">IF(G383="","",DATEVALUE(G383)-DATEVALUE(C383))</f>
        <v>43</v>
      </c>
      <c r="J383" s="11" t="n">
        <f aca="true">IF(G383="",TODAY()-DATEVALUE(D383),DATEVALUE(G383)-DATEVALUE(D383))</f>
        <v>13</v>
      </c>
      <c r="K383" s="11" t="str">
        <f aca="false">IF(J383&lt;=0,"Current",IF(J383&lt;=30,"1-30 days",IF(J383&lt;=60,"31-60 days",IF(J383&lt;=90,"61-90 days","90+ days"))))</f>
        <v>1-30 days</v>
      </c>
    </row>
    <row r="384" customFormat="false" ht="15" hidden="false" customHeight="false" outlineLevel="0" collapsed="false">
      <c r="A384" s="10" t="s">
        <v>820</v>
      </c>
      <c r="B384" s="10" t="s">
        <v>303</v>
      </c>
      <c r="C384" s="10" t="s">
        <v>245</v>
      </c>
      <c r="D384" s="10" t="s">
        <v>799</v>
      </c>
      <c r="E384" s="10" t="n">
        <v>45</v>
      </c>
      <c r="F384" s="10" t="n">
        <v>3581.67</v>
      </c>
      <c r="G384" s="10" t="s">
        <v>340</v>
      </c>
      <c r="H384" s="11" t="str">
        <f aca="false">IF(G384="","Open","Paid")</f>
        <v>Paid</v>
      </c>
      <c r="I384" s="11" t="n">
        <f aca="false">IF(G384="","",DATEVALUE(G384)-DATEVALUE(C384))</f>
        <v>52</v>
      </c>
      <c r="J384" s="11" t="n">
        <f aca="true">IF(G384="",TODAY()-DATEVALUE(D384),DATEVALUE(G384)-DATEVALUE(D384))</f>
        <v>7</v>
      </c>
      <c r="K384" s="11" t="str">
        <f aca="false">IF(J384&lt;=0,"Current",IF(J384&lt;=30,"1-30 days",IF(J384&lt;=60,"31-60 days",IF(J384&lt;=90,"61-90 days","90+ days"))))</f>
        <v>1-30 days</v>
      </c>
    </row>
    <row r="385" customFormat="false" ht="15" hidden="false" customHeight="false" outlineLevel="0" collapsed="false">
      <c r="A385" s="10" t="s">
        <v>821</v>
      </c>
      <c r="B385" s="10" t="s">
        <v>297</v>
      </c>
      <c r="C385" s="10" t="s">
        <v>646</v>
      </c>
      <c r="D385" s="10" t="s">
        <v>422</v>
      </c>
      <c r="E385" s="10" t="n">
        <v>30</v>
      </c>
      <c r="F385" s="10" t="n">
        <v>1733.93</v>
      </c>
      <c r="G385" s="10" t="s">
        <v>591</v>
      </c>
      <c r="H385" s="11" t="str">
        <f aca="false">IF(G385="","Open","Paid")</f>
        <v>Paid</v>
      </c>
      <c r="I385" s="11" t="n">
        <f aca="false">IF(G385="","",DATEVALUE(G385)-DATEVALUE(C385))</f>
        <v>35</v>
      </c>
      <c r="J385" s="11" t="n">
        <f aca="true">IF(G385="",TODAY()-DATEVALUE(D385),DATEVALUE(G385)-DATEVALUE(D385))</f>
        <v>5</v>
      </c>
      <c r="K385" s="11" t="str">
        <f aca="false">IF(J385&lt;=0,"Current",IF(J385&lt;=30,"1-30 days",IF(J385&lt;=60,"31-60 days",IF(J385&lt;=90,"61-90 days","90+ days"))))</f>
        <v>1-30 days</v>
      </c>
    </row>
    <row r="386" customFormat="false" ht="15" hidden="false" customHeight="false" outlineLevel="0" collapsed="false">
      <c r="A386" s="10" t="s">
        <v>822</v>
      </c>
      <c r="B386" s="10" t="s">
        <v>260</v>
      </c>
      <c r="C386" s="10" t="s">
        <v>553</v>
      </c>
      <c r="D386" s="10" t="s">
        <v>309</v>
      </c>
      <c r="E386" s="10" t="n">
        <v>30</v>
      </c>
      <c r="F386" s="10" t="n">
        <v>2959.01</v>
      </c>
      <c r="G386" s="10" t="s">
        <v>522</v>
      </c>
      <c r="H386" s="11" t="str">
        <f aca="false">IF(G386="","Open","Paid")</f>
        <v>Paid</v>
      </c>
      <c r="I386" s="11" t="n">
        <f aca="false">IF(G386="","",DATEVALUE(G386)-DATEVALUE(C386))</f>
        <v>31</v>
      </c>
      <c r="J386" s="11" t="n">
        <f aca="true">IF(G386="",TODAY()-DATEVALUE(D386),DATEVALUE(G386)-DATEVALUE(D386))</f>
        <v>1</v>
      </c>
      <c r="K386" s="11" t="str">
        <f aca="false">IF(J386&lt;=0,"Current",IF(J386&lt;=30,"1-30 days",IF(J386&lt;=60,"31-60 days",IF(J386&lt;=90,"61-90 days","90+ days"))))</f>
        <v>1-30 days</v>
      </c>
    </row>
    <row r="387" customFormat="false" ht="15" hidden="false" customHeight="false" outlineLevel="0" collapsed="false">
      <c r="A387" s="10" t="s">
        <v>823</v>
      </c>
      <c r="B387" s="10" t="s">
        <v>270</v>
      </c>
      <c r="C387" s="10" t="s">
        <v>824</v>
      </c>
      <c r="D387" s="10" t="s">
        <v>825</v>
      </c>
      <c r="E387" s="10" t="n">
        <v>30</v>
      </c>
      <c r="F387" s="10" t="n">
        <v>6256.84</v>
      </c>
      <c r="G387" s="10" t="s">
        <v>826</v>
      </c>
      <c r="H387" s="11" t="str">
        <f aca="false">IF(G387="","Open","Paid")</f>
        <v>Paid</v>
      </c>
      <c r="I387" s="11" t="n">
        <f aca="false">IF(G387="","",DATEVALUE(G387)-DATEVALUE(C387))</f>
        <v>16</v>
      </c>
      <c r="J387" s="11" t="n">
        <f aca="true">IF(G387="",TODAY()-DATEVALUE(D387),DATEVALUE(G387)-DATEVALUE(D387))</f>
        <v>-14</v>
      </c>
      <c r="K387" s="11" t="str">
        <f aca="false">IF(J387&lt;=0,"Current",IF(J387&lt;=30,"1-30 days",IF(J387&lt;=60,"31-60 days",IF(J387&lt;=90,"61-90 days","90+ days"))))</f>
        <v>Current</v>
      </c>
    </row>
    <row r="388" customFormat="false" ht="15" hidden="false" customHeight="false" outlineLevel="0" collapsed="false">
      <c r="A388" s="10" t="s">
        <v>827</v>
      </c>
      <c r="B388" s="10" t="s">
        <v>351</v>
      </c>
      <c r="C388" s="10" t="s">
        <v>58</v>
      </c>
      <c r="D388" s="10" t="s">
        <v>588</v>
      </c>
      <c r="E388" s="10" t="n">
        <v>45</v>
      </c>
      <c r="F388" s="10" t="n">
        <v>5536.05</v>
      </c>
      <c r="G388" s="10" t="s">
        <v>134</v>
      </c>
      <c r="H388" s="11" t="str">
        <f aca="false">IF(G388="","Open","Paid")</f>
        <v>Paid</v>
      </c>
      <c r="I388" s="11" t="n">
        <f aca="false">IF(G388="","",DATEVALUE(G388)-DATEVALUE(C388))</f>
        <v>54</v>
      </c>
      <c r="J388" s="11" t="n">
        <f aca="true">IF(G388="",TODAY()-DATEVALUE(D388),DATEVALUE(G388)-DATEVALUE(D388))</f>
        <v>9</v>
      </c>
      <c r="K388" s="11" t="str">
        <f aca="false">IF(J388&lt;=0,"Current",IF(J388&lt;=30,"1-30 days",IF(J388&lt;=60,"31-60 days",IF(J388&lt;=90,"61-90 days","90+ days"))))</f>
        <v>1-30 days</v>
      </c>
    </row>
    <row r="389" customFormat="false" ht="15" hidden="false" customHeight="false" outlineLevel="0" collapsed="false">
      <c r="A389" s="10" t="s">
        <v>828</v>
      </c>
      <c r="B389" s="10" t="s">
        <v>278</v>
      </c>
      <c r="C389" s="10" t="s">
        <v>519</v>
      </c>
      <c r="D389" s="10" t="s">
        <v>520</v>
      </c>
      <c r="E389" s="10" t="n">
        <v>30</v>
      </c>
      <c r="F389" s="10" t="n">
        <v>2296.11</v>
      </c>
      <c r="G389" s="10" t="s">
        <v>829</v>
      </c>
      <c r="H389" s="11" t="str">
        <f aca="false">IF(G389="","Open","Paid")</f>
        <v>Paid</v>
      </c>
      <c r="I389" s="11" t="n">
        <f aca="false">IF(G389="","",DATEVALUE(G389)-DATEVALUE(C389))</f>
        <v>15</v>
      </c>
      <c r="J389" s="11" t="n">
        <f aca="true">IF(G389="",TODAY()-DATEVALUE(D389),DATEVALUE(G389)-DATEVALUE(D389))</f>
        <v>-15</v>
      </c>
      <c r="K389" s="11" t="str">
        <f aca="false">IF(J389&lt;=0,"Current",IF(J389&lt;=30,"1-30 days",IF(J389&lt;=60,"31-60 days",IF(J389&lt;=90,"61-90 days","90+ days"))))</f>
        <v>Current</v>
      </c>
    </row>
    <row r="390" customFormat="false" ht="15" hidden="false" customHeight="false" outlineLevel="0" collapsed="false">
      <c r="A390" s="10" t="s">
        <v>830</v>
      </c>
      <c r="B390" s="10" t="s">
        <v>452</v>
      </c>
      <c r="C390" s="10" t="s">
        <v>149</v>
      </c>
      <c r="D390" s="10" t="s">
        <v>508</v>
      </c>
      <c r="E390" s="10" t="n">
        <v>30</v>
      </c>
      <c r="F390" s="10" t="n">
        <v>8958.53</v>
      </c>
      <c r="G390" s="10" t="s">
        <v>460</v>
      </c>
      <c r="H390" s="11" t="str">
        <f aca="false">IF(G390="","Open","Paid")</f>
        <v>Paid</v>
      </c>
      <c r="I390" s="11" t="n">
        <f aca="false">IF(G390="","",DATEVALUE(G390)-DATEVALUE(C390))</f>
        <v>43</v>
      </c>
      <c r="J390" s="11" t="n">
        <f aca="true">IF(G390="",TODAY()-DATEVALUE(D390),DATEVALUE(G390)-DATEVALUE(D390))</f>
        <v>13</v>
      </c>
      <c r="K390" s="11" t="str">
        <f aca="false">IF(J390&lt;=0,"Current",IF(J390&lt;=30,"1-30 days",IF(J390&lt;=60,"31-60 days",IF(J390&lt;=90,"61-90 days","90+ days"))))</f>
        <v>1-30 days</v>
      </c>
    </row>
    <row r="391" customFormat="false" ht="15" hidden="false" customHeight="false" outlineLevel="0" collapsed="false">
      <c r="A391" s="10" t="s">
        <v>831</v>
      </c>
      <c r="B391" s="10" t="s">
        <v>151</v>
      </c>
      <c r="C391" s="10" t="s">
        <v>693</v>
      </c>
      <c r="D391" s="10" t="s">
        <v>53</v>
      </c>
      <c r="E391" s="10" t="n">
        <v>60</v>
      </c>
      <c r="F391" s="10" t="n">
        <v>1716.4</v>
      </c>
      <c r="G391" s="10" t="s">
        <v>450</v>
      </c>
      <c r="H391" s="11" t="str">
        <f aca="false">IF(G391="","Open","Paid")</f>
        <v>Paid</v>
      </c>
      <c r="I391" s="11" t="n">
        <f aca="false">IF(G391="","",DATEVALUE(G391)-DATEVALUE(C391))</f>
        <v>94</v>
      </c>
      <c r="J391" s="11" t="n">
        <f aca="true">IF(G391="",TODAY()-DATEVALUE(D391),DATEVALUE(G391)-DATEVALUE(D391))</f>
        <v>34</v>
      </c>
      <c r="K391" s="11" t="str">
        <f aca="false">IF(J391&lt;=0,"Current",IF(J391&lt;=30,"1-30 days",IF(J391&lt;=60,"31-60 days",IF(J391&lt;=90,"61-90 days","90+ days"))))</f>
        <v>31-60 days</v>
      </c>
    </row>
    <row r="392" customFormat="false" ht="15" hidden="false" customHeight="false" outlineLevel="0" collapsed="false">
      <c r="A392" s="10" t="s">
        <v>832</v>
      </c>
      <c r="B392" s="10" t="s">
        <v>487</v>
      </c>
      <c r="C392" s="10" t="s">
        <v>274</v>
      </c>
      <c r="D392" s="10" t="s">
        <v>98</v>
      </c>
      <c r="E392" s="10" t="n">
        <v>30</v>
      </c>
      <c r="F392" s="10" t="n">
        <v>10001.01</v>
      </c>
      <c r="G392" s="10" t="s">
        <v>385</v>
      </c>
      <c r="H392" s="11" t="str">
        <f aca="false">IF(G392="","Open","Paid")</f>
        <v>Paid</v>
      </c>
      <c r="I392" s="11" t="n">
        <f aca="false">IF(G392="","",DATEVALUE(G392)-DATEVALUE(C392))</f>
        <v>34</v>
      </c>
      <c r="J392" s="11" t="n">
        <f aca="true">IF(G392="",TODAY()-DATEVALUE(D392),DATEVALUE(G392)-DATEVALUE(D392))</f>
        <v>4</v>
      </c>
      <c r="K392" s="11" t="str">
        <f aca="false">IF(J392&lt;=0,"Current",IF(J392&lt;=30,"1-30 days",IF(J392&lt;=60,"31-60 days",IF(J392&lt;=90,"61-90 days","90+ days"))))</f>
        <v>1-30 days</v>
      </c>
    </row>
    <row r="393" customFormat="false" ht="15" hidden="false" customHeight="false" outlineLevel="0" collapsed="false">
      <c r="A393" s="10" t="s">
        <v>833</v>
      </c>
      <c r="B393" s="10" t="s">
        <v>568</v>
      </c>
      <c r="C393" s="10" t="s">
        <v>218</v>
      </c>
      <c r="D393" s="10" t="s">
        <v>489</v>
      </c>
      <c r="E393" s="10" t="n">
        <v>30</v>
      </c>
      <c r="F393" s="10" t="n">
        <v>5397.13</v>
      </c>
      <c r="G393" s="10" t="s">
        <v>333</v>
      </c>
      <c r="H393" s="11" t="str">
        <f aca="false">IF(G393="","Open","Paid")</f>
        <v>Paid</v>
      </c>
      <c r="I393" s="11" t="n">
        <f aca="false">IF(G393="","",DATEVALUE(G393)-DATEVALUE(C393))</f>
        <v>36</v>
      </c>
      <c r="J393" s="11" t="n">
        <f aca="true">IF(G393="",TODAY()-DATEVALUE(D393),DATEVALUE(G393)-DATEVALUE(D393))</f>
        <v>6</v>
      </c>
      <c r="K393" s="11" t="str">
        <f aca="false">IF(J393&lt;=0,"Current",IF(J393&lt;=30,"1-30 days",IF(J393&lt;=60,"31-60 days",IF(J393&lt;=90,"61-90 days","90+ days"))))</f>
        <v>1-30 days</v>
      </c>
    </row>
    <row r="394" customFormat="false" ht="15" hidden="false" customHeight="false" outlineLevel="0" collapsed="false">
      <c r="A394" s="10" t="s">
        <v>834</v>
      </c>
      <c r="B394" s="10" t="s">
        <v>119</v>
      </c>
      <c r="C394" s="10" t="s">
        <v>495</v>
      </c>
      <c r="D394" s="10" t="s">
        <v>362</v>
      </c>
      <c r="E394" s="10" t="n">
        <v>60</v>
      </c>
      <c r="F394" s="10" t="n">
        <v>3757.93</v>
      </c>
      <c r="G394" s="10" t="s">
        <v>705</v>
      </c>
      <c r="H394" s="11" t="str">
        <f aca="false">IF(G394="","Open","Paid")</f>
        <v>Paid</v>
      </c>
      <c r="I394" s="11" t="n">
        <f aca="false">IF(G394="","",DATEVALUE(G394)-DATEVALUE(C394))</f>
        <v>54</v>
      </c>
      <c r="J394" s="11" t="n">
        <f aca="true">IF(G394="",TODAY()-DATEVALUE(D394),DATEVALUE(G394)-DATEVALUE(D394))</f>
        <v>-6</v>
      </c>
      <c r="K394" s="11" t="str">
        <f aca="false">IF(J394&lt;=0,"Current",IF(J394&lt;=30,"1-30 days",IF(J394&lt;=60,"31-60 days",IF(J394&lt;=90,"61-90 days","90+ days"))))</f>
        <v>Current</v>
      </c>
    </row>
    <row r="395" customFormat="false" ht="15" hidden="false" customHeight="false" outlineLevel="0" collapsed="false">
      <c r="A395" s="10" t="s">
        <v>835</v>
      </c>
      <c r="B395" s="10" t="s">
        <v>77</v>
      </c>
      <c r="C395" s="10" t="s">
        <v>53</v>
      </c>
      <c r="D395" s="10" t="s">
        <v>241</v>
      </c>
      <c r="E395" s="10" t="n">
        <v>30</v>
      </c>
      <c r="F395" s="10" t="n">
        <v>4095.73</v>
      </c>
      <c r="G395" s="10" t="s">
        <v>57</v>
      </c>
      <c r="H395" s="11" t="str">
        <f aca="false">IF(G395="","Open","Paid")</f>
        <v>Paid</v>
      </c>
      <c r="I395" s="11" t="n">
        <f aca="false">IF(G395="","",DATEVALUE(G395)-DATEVALUE(C395))</f>
        <v>8</v>
      </c>
      <c r="J395" s="11" t="n">
        <f aca="true">IF(G395="",TODAY()-DATEVALUE(D395),DATEVALUE(G395)-DATEVALUE(D395))</f>
        <v>-22</v>
      </c>
      <c r="K395" s="11" t="str">
        <f aca="false">IF(J395&lt;=0,"Current",IF(J395&lt;=30,"1-30 days",IF(J395&lt;=60,"31-60 days",IF(J395&lt;=90,"61-90 days","90+ days"))))</f>
        <v>Current</v>
      </c>
    </row>
    <row r="396" customFormat="false" ht="15" hidden="false" customHeight="false" outlineLevel="0" collapsed="false">
      <c r="A396" s="10" t="s">
        <v>836</v>
      </c>
      <c r="B396" s="10" t="s">
        <v>46</v>
      </c>
      <c r="C396" s="10" t="s">
        <v>555</v>
      </c>
      <c r="D396" s="10" t="s">
        <v>837</v>
      </c>
      <c r="E396" s="10" t="n">
        <v>30</v>
      </c>
      <c r="F396" s="10" t="n">
        <v>5034.76</v>
      </c>
      <c r="G396" s="10"/>
      <c r="H396" s="11" t="str">
        <f aca="false">IF(G396="","Open","Paid")</f>
        <v>Open</v>
      </c>
      <c r="I396" s="11" t="str">
        <f aca="false">IF(G396="","",DATEVALUE(G396)-DATEVALUE(C396))</f>
        <v/>
      </c>
      <c r="J396" s="11" t="n">
        <f aca="true">IF(G396="",TODAY()-DATEVALUE(D396),DATEVALUE(G396)-DATEVALUE(D396))</f>
        <v>-23</v>
      </c>
      <c r="K396" s="11" t="str">
        <f aca="false">IF(J396&lt;=0,"Current",IF(J396&lt;=30,"1-30 days",IF(J396&lt;=60,"31-60 days",IF(J396&lt;=90,"61-90 days","90+ days"))))</f>
        <v>Current</v>
      </c>
    </row>
    <row r="397" customFormat="false" ht="15" hidden="false" customHeight="false" outlineLevel="0" collapsed="false">
      <c r="A397" s="10" t="s">
        <v>838</v>
      </c>
      <c r="B397" s="10" t="s">
        <v>278</v>
      </c>
      <c r="C397" s="10" t="s">
        <v>398</v>
      </c>
      <c r="D397" s="10" t="s">
        <v>399</v>
      </c>
      <c r="E397" s="10" t="n">
        <v>45</v>
      </c>
      <c r="F397" s="10" t="n">
        <v>6540.18</v>
      </c>
      <c r="G397" s="10" t="s">
        <v>69</v>
      </c>
      <c r="H397" s="11" t="str">
        <f aca="false">IF(G397="","Open","Paid")</f>
        <v>Paid</v>
      </c>
      <c r="I397" s="11" t="n">
        <f aca="false">IF(G397="","",DATEVALUE(G397)-DATEVALUE(C397))</f>
        <v>31</v>
      </c>
      <c r="J397" s="11" t="n">
        <f aca="true">IF(G397="",TODAY()-DATEVALUE(D397),DATEVALUE(G397)-DATEVALUE(D397))</f>
        <v>-14</v>
      </c>
      <c r="K397" s="11" t="str">
        <f aca="false">IF(J397&lt;=0,"Current",IF(J397&lt;=30,"1-30 days",IF(J397&lt;=60,"31-60 days",IF(J397&lt;=90,"61-90 days","90+ days"))))</f>
        <v>Current</v>
      </c>
    </row>
    <row r="398" customFormat="false" ht="15" hidden="false" customHeight="false" outlineLevel="0" collapsed="false">
      <c r="A398" s="10" t="s">
        <v>839</v>
      </c>
      <c r="B398" s="10" t="s">
        <v>175</v>
      </c>
      <c r="C398" s="10" t="s">
        <v>480</v>
      </c>
      <c r="D398" s="10" t="s">
        <v>272</v>
      </c>
      <c r="E398" s="10" t="n">
        <v>45</v>
      </c>
      <c r="F398" s="10" t="n">
        <v>1242.28</v>
      </c>
      <c r="G398" s="10" t="s">
        <v>198</v>
      </c>
      <c r="H398" s="11" t="str">
        <f aca="false">IF(G398="","Open","Paid")</f>
        <v>Paid</v>
      </c>
      <c r="I398" s="11" t="n">
        <f aca="false">IF(G398="","",DATEVALUE(G398)-DATEVALUE(C398))</f>
        <v>27</v>
      </c>
      <c r="J398" s="11" t="n">
        <f aca="true">IF(G398="",TODAY()-DATEVALUE(D398),DATEVALUE(G398)-DATEVALUE(D398))</f>
        <v>-18</v>
      </c>
      <c r="K398" s="11" t="str">
        <f aca="false">IF(J398&lt;=0,"Current",IF(J398&lt;=30,"1-30 days",IF(J398&lt;=60,"31-60 days",IF(J398&lt;=90,"61-90 days","90+ days"))))</f>
        <v>Current</v>
      </c>
    </row>
    <row r="399" customFormat="false" ht="15" hidden="false" customHeight="false" outlineLevel="0" collapsed="false">
      <c r="A399" s="10" t="s">
        <v>840</v>
      </c>
      <c r="B399" s="10" t="s">
        <v>147</v>
      </c>
      <c r="C399" s="10" t="s">
        <v>400</v>
      </c>
      <c r="D399" s="10" t="s">
        <v>71</v>
      </c>
      <c r="E399" s="10" t="n">
        <v>30</v>
      </c>
      <c r="F399" s="10" t="n">
        <v>2894.31</v>
      </c>
      <c r="G399" s="10" t="s">
        <v>811</v>
      </c>
      <c r="H399" s="11" t="str">
        <f aca="false">IF(G399="","Open","Paid")</f>
        <v>Paid</v>
      </c>
      <c r="I399" s="11" t="n">
        <f aca="false">IF(G399="","",DATEVALUE(G399)-DATEVALUE(C399))</f>
        <v>50</v>
      </c>
      <c r="J399" s="11" t="n">
        <f aca="true">IF(G399="",TODAY()-DATEVALUE(D399),DATEVALUE(G399)-DATEVALUE(D399))</f>
        <v>20</v>
      </c>
      <c r="K399" s="11" t="str">
        <f aca="false">IF(J399&lt;=0,"Current",IF(J399&lt;=30,"1-30 days",IF(J399&lt;=60,"31-60 days",IF(J399&lt;=90,"61-90 days","90+ days"))))</f>
        <v>1-30 days</v>
      </c>
    </row>
    <row r="400" customFormat="false" ht="15" hidden="false" customHeight="false" outlineLevel="0" collapsed="false">
      <c r="A400" s="10" t="s">
        <v>841</v>
      </c>
      <c r="B400" s="10" t="s">
        <v>185</v>
      </c>
      <c r="C400" s="10" t="s">
        <v>318</v>
      </c>
      <c r="D400" s="10" t="s">
        <v>536</v>
      </c>
      <c r="E400" s="10" t="n">
        <v>45</v>
      </c>
      <c r="F400" s="10" t="n">
        <v>4938.16</v>
      </c>
      <c r="G400" s="10" t="s">
        <v>66</v>
      </c>
      <c r="H400" s="11" t="str">
        <f aca="false">IF(G400="","Open","Paid")</f>
        <v>Paid</v>
      </c>
      <c r="I400" s="11" t="n">
        <f aca="false">IF(G400="","",DATEVALUE(G400)-DATEVALUE(C400))</f>
        <v>48</v>
      </c>
      <c r="J400" s="11" t="n">
        <f aca="true">IF(G400="",TODAY()-DATEVALUE(D400),DATEVALUE(G400)-DATEVALUE(D400))</f>
        <v>3</v>
      </c>
      <c r="K400" s="11" t="str">
        <f aca="false">IF(J400&lt;=0,"Current",IF(J400&lt;=30,"1-30 days",IF(J400&lt;=60,"31-60 days",IF(J400&lt;=90,"61-90 days","90+ days"))))</f>
        <v>1-30 days</v>
      </c>
    </row>
    <row r="401" customFormat="false" ht="15" hidden="false" customHeight="false" outlineLevel="0" collapsed="false">
      <c r="A401" s="10" t="s">
        <v>842</v>
      </c>
      <c r="B401" s="10" t="s">
        <v>119</v>
      </c>
      <c r="C401" s="10" t="s">
        <v>88</v>
      </c>
      <c r="D401" s="10" t="s">
        <v>89</v>
      </c>
      <c r="E401" s="10" t="n">
        <v>30</v>
      </c>
      <c r="F401" s="10" t="n">
        <v>9150.67</v>
      </c>
      <c r="G401" s="10" t="s">
        <v>196</v>
      </c>
      <c r="H401" s="11" t="str">
        <f aca="false">IF(G401="","Open","Paid")</f>
        <v>Paid</v>
      </c>
      <c r="I401" s="11" t="n">
        <f aca="false">IF(G401="","",DATEVALUE(G401)-DATEVALUE(C401))</f>
        <v>34</v>
      </c>
      <c r="J401" s="11" t="n">
        <f aca="true">IF(G401="",TODAY()-DATEVALUE(D401),DATEVALUE(G401)-DATEVALUE(D401))</f>
        <v>4</v>
      </c>
      <c r="K401" s="11" t="str">
        <f aca="false">IF(J401&lt;=0,"Current",IF(J401&lt;=30,"1-30 days",IF(J401&lt;=60,"31-60 days",IF(J401&lt;=90,"61-90 days","90+ days"))))</f>
        <v>1-30 days</v>
      </c>
    </row>
    <row r="402" customFormat="false" ht="15" hidden="false" customHeight="false" outlineLevel="0" collapsed="false">
      <c r="A402" s="10" t="s">
        <v>843</v>
      </c>
      <c r="B402" s="10" t="s">
        <v>487</v>
      </c>
      <c r="C402" s="10" t="s">
        <v>141</v>
      </c>
      <c r="D402" s="10" t="s">
        <v>165</v>
      </c>
      <c r="E402" s="10" t="n">
        <v>30</v>
      </c>
      <c r="F402" s="10" t="n">
        <v>8955.69</v>
      </c>
      <c r="G402" s="10"/>
      <c r="H402" s="11" t="str">
        <f aca="false">IF(G402="","Open","Paid")</f>
        <v>Open</v>
      </c>
      <c r="I402" s="11" t="str">
        <f aca="false">IF(G402="","",DATEVALUE(G402)-DATEVALUE(C402))</f>
        <v/>
      </c>
      <c r="J402" s="11" t="n">
        <f aca="true">IF(G402="",TODAY()-DATEVALUE(D402),DATEVALUE(G402)-DATEVALUE(D402))</f>
        <v>82</v>
      </c>
      <c r="K402" s="11" t="str">
        <f aca="false">IF(J402&lt;=0,"Current",IF(J402&lt;=30,"1-30 days",IF(J402&lt;=60,"31-60 days",IF(J402&lt;=90,"61-90 days","90+ days"))))</f>
        <v>61-90 days</v>
      </c>
    </row>
    <row r="403" customFormat="false" ht="15" hidden="false" customHeight="false" outlineLevel="0" collapsed="false">
      <c r="A403" s="10" t="s">
        <v>844</v>
      </c>
      <c r="B403" s="10" t="s">
        <v>33</v>
      </c>
      <c r="C403" s="10" t="s">
        <v>845</v>
      </c>
      <c r="D403" s="10" t="s">
        <v>846</v>
      </c>
      <c r="E403" s="10" t="n">
        <v>30</v>
      </c>
      <c r="F403" s="10" t="n">
        <v>11156.92</v>
      </c>
      <c r="G403" s="10" t="s">
        <v>339</v>
      </c>
      <c r="H403" s="11" t="str">
        <f aca="false">IF(G403="","Open","Paid")</f>
        <v>Paid</v>
      </c>
      <c r="I403" s="11" t="n">
        <f aca="false">IF(G403="","",DATEVALUE(G403)-DATEVALUE(C403))</f>
        <v>72</v>
      </c>
      <c r="J403" s="11" t="n">
        <f aca="true">IF(G403="",TODAY()-DATEVALUE(D403),DATEVALUE(G403)-DATEVALUE(D403))</f>
        <v>42</v>
      </c>
      <c r="K403" s="11" t="str">
        <f aca="false">IF(J403&lt;=0,"Current",IF(J403&lt;=30,"1-30 days",IF(J403&lt;=60,"31-60 days",IF(J403&lt;=90,"61-90 days","90+ days"))))</f>
        <v>31-60 days</v>
      </c>
    </row>
    <row r="404" customFormat="false" ht="15" hidden="false" customHeight="false" outlineLevel="0" collapsed="false">
      <c r="A404" s="10" t="s">
        <v>847</v>
      </c>
      <c r="B404" s="10" t="s">
        <v>366</v>
      </c>
      <c r="C404" s="10" t="s">
        <v>245</v>
      </c>
      <c r="D404" s="10" t="s">
        <v>84</v>
      </c>
      <c r="E404" s="10" t="n">
        <v>30</v>
      </c>
      <c r="F404" s="10" t="n">
        <v>8716.37</v>
      </c>
      <c r="G404" s="10" t="s">
        <v>192</v>
      </c>
      <c r="H404" s="11" t="str">
        <f aca="false">IF(G404="","Open","Paid")</f>
        <v>Paid</v>
      </c>
      <c r="I404" s="11" t="n">
        <f aca="false">IF(G404="","",DATEVALUE(G404)-DATEVALUE(C404))</f>
        <v>41</v>
      </c>
      <c r="J404" s="11" t="n">
        <f aca="true">IF(G404="",TODAY()-DATEVALUE(D404),DATEVALUE(G404)-DATEVALUE(D404))</f>
        <v>11</v>
      </c>
      <c r="K404" s="11" t="str">
        <f aca="false">IF(J404&lt;=0,"Current",IF(J404&lt;=30,"1-30 days",IF(J404&lt;=60,"31-60 days",IF(J404&lt;=90,"61-90 days","90+ days"))))</f>
        <v>1-30 days</v>
      </c>
    </row>
    <row r="405" customFormat="false" ht="15" hidden="false" customHeight="false" outlineLevel="0" collapsed="false">
      <c r="A405" s="10" t="s">
        <v>848</v>
      </c>
      <c r="B405" s="10" t="s">
        <v>212</v>
      </c>
      <c r="C405" s="10" t="s">
        <v>291</v>
      </c>
      <c r="D405" s="10" t="s">
        <v>677</v>
      </c>
      <c r="E405" s="10" t="n">
        <v>45</v>
      </c>
      <c r="F405" s="10" t="n">
        <v>2748.74</v>
      </c>
      <c r="G405" s="10"/>
      <c r="H405" s="11" t="str">
        <f aca="false">IF(G405="","Open","Paid")</f>
        <v>Open</v>
      </c>
      <c r="I405" s="11" t="str">
        <f aca="false">IF(G405="","",DATEVALUE(G405)-DATEVALUE(C405))</f>
        <v/>
      </c>
      <c r="J405" s="11" t="n">
        <f aca="true">IF(G405="",TODAY()-DATEVALUE(D405),DATEVALUE(G405)-DATEVALUE(D405))</f>
        <v>-2</v>
      </c>
      <c r="K405" s="11" t="str">
        <f aca="false">IF(J405&lt;=0,"Current",IF(J405&lt;=30,"1-30 days",IF(J405&lt;=60,"31-60 days",IF(J405&lt;=90,"61-90 days","90+ days"))))</f>
        <v>Current</v>
      </c>
    </row>
    <row r="406" customFormat="false" ht="15" hidden="false" customHeight="false" outlineLevel="0" collapsed="false">
      <c r="A406" s="10" t="s">
        <v>849</v>
      </c>
      <c r="B406" s="10" t="s">
        <v>180</v>
      </c>
      <c r="C406" s="10" t="s">
        <v>850</v>
      </c>
      <c r="D406" s="10" t="s">
        <v>611</v>
      </c>
      <c r="E406" s="10" t="n">
        <v>45</v>
      </c>
      <c r="F406" s="10" t="n">
        <v>4750.09</v>
      </c>
      <c r="G406" s="10" t="s">
        <v>410</v>
      </c>
      <c r="H406" s="11" t="str">
        <f aca="false">IF(G406="","Open","Paid")</f>
        <v>Paid</v>
      </c>
      <c r="I406" s="11" t="n">
        <f aca="false">IF(G406="","",DATEVALUE(G406)-DATEVALUE(C406))</f>
        <v>51</v>
      </c>
      <c r="J406" s="11" t="n">
        <f aca="true">IF(G406="",TODAY()-DATEVALUE(D406),DATEVALUE(G406)-DATEVALUE(D406))</f>
        <v>6</v>
      </c>
      <c r="K406" s="11" t="str">
        <f aca="false">IF(J406&lt;=0,"Current",IF(J406&lt;=30,"1-30 days",IF(J406&lt;=60,"31-60 days",IF(J406&lt;=90,"61-90 days","90+ days"))))</f>
        <v>1-30 days</v>
      </c>
    </row>
    <row r="407" customFormat="false" ht="15" hidden="false" customHeight="false" outlineLevel="0" collapsed="false">
      <c r="A407" s="10" t="s">
        <v>851</v>
      </c>
      <c r="B407" s="10" t="s">
        <v>156</v>
      </c>
      <c r="C407" s="10" t="s">
        <v>852</v>
      </c>
      <c r="D407" s="10" t="s">
        <v>634</v>
      </c>
      <c r="E407" s="10" t="n">
        <v>30</v>
      </c>
      <c r="F407" s="10" t="n">
        <v>8745.59</v>
      </c>
      <c r="G407" s="10" t="s">
        <v>130</v>
      </c>
      <c r="H407" s="11" t="str">
        <f aca="false">IF(G407="","Open","Paid")</f>
        <v>Paid</v>
      </c>
      <c r="I407" s="11" t="n">
        <f aca="false">IF(G407="","",DATEVALUE(G407)-DATEVALUE(C407))</f>
        <v>27</v>
      </c>
      <c r="J407" s="11" t="n">
        <f aca="true">IF(G407="",TODAY()-DATEVALUE(D407),DATEVALUE(G407)-DATEVALUE(D407))</f>
        <v>-3</v>
      </c>
      <c r="K407" s="11" t="str">
        <f aca="false">IF(J407&lt;=0,"Current",IF(J407&lt;=30,"1-30 days",IF(J407&lt;=60,"31-60 days",IF(J407&lt;=90,"61-90 days","90+ days"))))</f>
        <v>Current</v>
      </c>
    </row>
    <row r="408" customFormat="false" ht="15" hidden="false" customHeight="false" outlineLevel="0" collapsed="false">
      <c r="A408" s="10" t="s">
        <v>853</v>
      </c>
      <c r="B408" s="10" t="s">
        <v>139</v>
      </c>
      <c r="C408" s="10" t="s">
        <v>215</v>
      </c>
      <c r="D408" s="10" t="s">
        <v>164</v>
      </c>
      <c r="E408" s="10" t="n">
        <v>30</v>
      </c>
      <c r="F408" s="10" t="n">
        <v>8269.13</v>
      </c>
      <c r="G408" s="10" t="s">
        <v>408</v>
      </c>
      <c r="H408" s="11" t="str">
        <f aca="false">IF(G408="","Open","Paid")</f>
        <v>Paid</v>
      </c>
      <c r="I408" s="11" t="n">
        <f aca="false">IF(G408="","",DATEVALUE(G408)-DATEVALUE(C408))</f>
        <v>55</v>
      </c>
      <c r="J408" s="11" t="n">
        <f aca="true">IF(G408="",TODAY()-DATEVALUE(D408),DATEVALUE(G408)-DATEVALUE(D408))</f>
        <v>25</v>
      </c>
      <c r="K408" s="11" t="str">
        <f aca="false">IF(J408&lt;=0,"Current",IF(J408&lt;=30,"1-30 days",IF(J408&lt;=60,"31-60 days",IF(J408&lt;=90,"61-90 days","90+ days"))))</f>
        <v>1-30 days</v>
      </c>
    </row>
    <row r="409" customFormat="false" ht="15" hidden="false" customHeight="false" outlineLevel="0" collapsed="false">
      <c r="A409" s="10" t="s">
        <v>854</v>
      </c>
      <c r="B409" s="10" t="s">
        <v>388</v>
      </c>
      <c r="C409" s="10" t="s">
        <v>846</v>
      </c>
      <c r="D409" s="10" t="s">
        <v>855</v>
      </c>
      <c r="E409" s="10" t="n">
        <v>30</v>
      </c>
      <c r="F409" s="10" t="n">
        <v>4225.58</v>
      </c>
      <c r="G409" s="10" t="s">
        <v>466</v>
      </c>
      <c r="H409" s="11" t="str">
        <f aca="false">IF(G409="","Open","Paid")</f>
        <v>Paid</v>
      </c>
      <c r="I409" s="11" t="n">
        <f aca="false">IF(G409="","",DATEVALUE(G409)-DATEVALUE(C409))</f>
        <v>13</v>
      </c>
      <c r="J409" s="11" t="n">
        <f aca="true">IF(G409="",TODAY()-DATEVALUE(D409),DATEVALUE(G409)-DATEVALUE(D409))</f>
        <v>-17</v>
      </c>
      <c r="K409" s="11" t="str">
        <f aca="false">IF(J409&lt;=0,"Current",IF(J409&lt;=30,"1-30 days",IF(J409&lt;=60,"31-60 days",IF(J409&lt;=90,"61-90 days","90+ days"))))</f>
        <v>Current</v>
      </c>
    </row>
    <row r="410" customFormat="false" ht="15" hidden="false" customHeight="false" outlineLevel="0" collapsed="false">
      <c r="A410" s="10" t="s">
        <v>856</v>
      </c>
      <c r="B410" s="10" t="s">
        <v>87</v>
      </c>
      <c r="C410" s="10" t="s">
        <v>177</v>
      </c>
      <c r="D410" s="10" t="s">
        <v>104</v>
      </c>
      <c r="E410" s="10" t="n">
        <v>45</v>
      </c>
      <c r="F410" s="10" t="n">
        <v>6435.69</v>
      </c>
      <c r="G410" s="10" t="s">
        <v>701</v>
      </c>
      <c r="H410" s="11" t="str">
        <f aca="false">IF(G410="","Open","Paid")</f>
        <v>Paid</v>
      </c>
      <c r="I410" s="11" t="n">
        <f aca="false">IF(G410="","",DATEVALUE(G410)-DATEVALUE(C410))</f>
        <v>21</v>
      </c>
      <c r="J410" s="11" t="n">
        <f aca="true">IF(G410="",TODAY()-DATEVALUE(D410),DATEVALUE(G410)-DATEVALUE(D410))</f>
        <v>-24</v>
      </c>
      <c r="K410" s="11" t="str">
        <f aca="false">IF(J410&lt;=0,"Current",IF(J410&lt;=30,"1-30 days",IF(J410&lt;=60,"31-60 days",IF(J410&lt;=90,"61-90 days","90+ days"))))</f>
        <v>Current</v>
      </c>
    </row>
    <row r="411" customFormat="false" ht="15" hidden="false" customHeight="false" outlineLevel="0" collapsed="false">
      <c r="A411" s="10" t="s">
        <v>857</v>
      </c>
      <c r="B411" s="10" t="s">
        <v>338</v>
      </c>
      <c r="C411" s="10" t="s">
        <v>858</v>
      </c>
      <c r="D411" s="10" t="s">
        <v>504</v>
      </c>
      <c r="E411" s="10" t="n">
        <v>30</v>
      </c>
      <c r="F411" s="10" t="n">
        <v>3568.79</v>
      </c>
      <c r="G411" s="10" t="s">
        <v>74</v>
      </c>
      <c r="H411" s="11" t="str">
        <f aca="false">IF(G411="","Open","Paid")</f>
        <v>Paid</v>
      </c>
      <c r="I411" s="11" t="n">
        <f aca="false">IF(G411="","",DATEVALUE(G411)-DATEVALUE(C411))</f>
        <v>26</v>
      </c>
      <c r="J411" s="11" t="n">
        <f aca="true">IF(G411="",TODAY()-DATEVALUE(D411),DATEVALUE(G411)-DATEVALUE(D411))</f>
        <v>-4</v>
      </c>
      <c r="K411" s="11" t="str">
        <f aca="false">IF(J411&lt;=0,"Current",IF(J411&lt;=30,"1-30 days",IF(J411&lt;=60,"31-60 days",IF(J411&lt;=90,"61-90 days","90+ days"))))</f>
        <v>Current</v>
      </c>
    </row>
    <row r="412" customFormat="false" ht="15" hidden="false" customHeight="false" outlineLevel="0" collapsed="false">
      <c r="A412" s="10" t="s">
        <v>859</v>
      </c>
      <c r="B412" s="10" t="s">
        <v>652</v>
      </c>
      <c r="C412" s="10" t="s">
        <v>239</v>
      </c>
      <c r="D412" s="10" t="s">
        <v>385</v>
      </c>
      <c r="E412" s="10" t="n">
        <v>45</v>
      </c>
      <c r="F412" s="10" t="n">
        <v>1614.33</v>
      </c>
      <c r="G412" s="10" t="s">
        <v>385</v>
      </c>
      <c r="H412" s="11" t="str">
        <f aca="false">IF(G412="","Open","Paid")</f>
        <v>Paid</v>
      </c>
      <c r="I412" s="11" t="n">
        <f aca="false">IF(G412="","",DATEVALUE(G412)-DATEVALUE(C412))</f>
        <v>45</v>
      </c>
      <c r="J412" s="11" t="n">
        <f aca="true">IF(G412="",TODAY()-DATEVALUE(D412),DATEVALUE(G412)-DATEVALUE(D412))</f>
        <v>0</v>
      </c>
      <c r="K412" s="11" t="str">
        <f aca="false">IF(J412&lt;=0,"Current",IF(J412&lt;=30,"1-30 days",IF(J412&lt;=60,"31-60 days",IF(J412&lt;=90,"61-90 days","90+ days"))))</f>
        <v>Current</v>
      </c>
    </row>
    <row r="413" customFormat="false" ht="15" hidden="false" customHeight="false" outlineLevel="0" collapsed="false">
      <c r="A413" s="10" t="s">
        <v>860</v>
      </c>
      <c r="B413" s="10" t="s">
        <v>217</v>
      </c>
      <c r="C413" s="10" t="s">
        <v>25</v>
      </c>
      <c r="D413" s="10" t="s">
        <v>424</v>
      </c>
      <c r="E413" s="10" t="n">
        <v>30</v>
      </c>
      <c r="F413" s="10" t="n">
        <v>4458.17</v>
      </c>
      <c r="G413" s="10" t="s">
        <v>26</v>
      </c>
      <c r="H413" s="11" t="str">
        <f aca="false">IF(G413="","Open","Paid")</f>
        <v>Paid</v>
      </c>
      <c r="I413" s="11" t="n">
        <f aca="false">IF(G413="","",DATEVALUE(G413)-DATEVALUE(C413))</f>
        <v>14</v>
      </c>
      <c r="J413" s="11" t="n">
        <f aca="true">IF(G413="",TODAY()-DATEVALUE(D413),DATEVALUE(G413)-DATEVALUE(D413))</f>
        <v>-16</v>
      </c>
      <c r="K413" s="11" t="str">
        <f aca="false">IF(J413&lt;=0,"Current",IF(J413&lt;=30,"1-30 days",IF(J413&lt;=60,"31-60 days",IF(J413&lt;=90,"61-90 days","90+ days"))))</f>
        <v>Current</v>
      </c>
    </row>
    <row r="414" customFormat="false" ht="15" hidden="false" customHeight="false" outlineLevel="0" collapsed="false">
      <c r="A414" s="10" t="s">
        <v>861</v>
      </c>
      <c r="B414" s="10" t="s">
        <v>265</v>
      </c>
      <c r="C414" s="10" t="s">
        <v>336</v>
      </c>
      <c r="D414" s="10" t="s">
        <v>234</v>
      </c>
      <c r="E414" s="10" t="n">
        <v>30</v>
      </c>
      <c r="F414" s="10" t="n">
        <v>4293.78</v>
      </c>
      <c r="G414" s="10" t="s">
        <v>560</v>
      </c>
      <c r="H414" s="11" t="str">
        <f aca="false">IF(G414="","Open","Paid")</f>
        <v>Paid</v>
      </c>
      <c r="I414" s="11" t="n">
        <f aca="false">IF(G414="","",DATEVALUE(G414)-DATEVALUE(C414))</f>
        <v>29</v>
      </c>
      <c r="J414" s="11" t="n">
        <f aca="true">IF(G414="",TODAY()-DATEVALUE(D414),DATEVALUE(G414)-DATEVALUE(D414))</f>
        <v>-1</v>
      </c>
      <c r="K414" s="11" t="str">
        <f aca="false">IF(J414&lt;=0,"Current",IF(J414&lt;=30,"1-30 days",IF(J414&lt;=60,"31-60 days",IF(J414&lt;=90,"61-90 days","90+ days"))))</f>
        <v>Current</v>
      </c>
    </row>
    <row r="415" customFormat="false" ht="15" hidden="false" customHeight="false" outlineLevel="0" collapsed="false">
      <c r="A415" s="10" t="s">
        <v>862</v>
      </c>
      <c r="B415" s="10" t="s">
        <v>256</v>
      </c>
      <c r="C415" s="10" t="s">
        <v>484</v>
      </c>
      <c r="D415" s="10" t="s">
        <v>24</v>
      </c>
      <c r="E415" s="10" t="n">
        <v>45</v>
      </c>
      <c r="F415" s="10" t="n">
        <v>3459.58</v>
      </c>
      <c r="G415" s="10" t="s">
        <v>24</v>
      </c>
      <c r="H415" s="11" t="str">
        <f aca="false">IF(G415="","Open","Paid")</f>
        <v>Paid</v>
      </c>
      <c r="I415" s="11" t="n">
        <f aca="false">IF(G415="","",DATEVALUE(G415)-DATEVALUE(C415))</f>
        <v>45</v>
      </c>
      <c r="J415" s="11" t="n">
        <f aca="true">IF(G415="",TODAY()-DATEVALUE(D415),DATEVALUE(G415)-DATEVALUE(D415))</f>
        <v>0</v>
      </c>
      <c r="K415" s="11" t="str">
        <f aca="false">IF(J415&lt;=0,"Current",IF(J415&lt;=30,"1-30 days",IF(J415&lt;=60,"31-60 days",IF(J415&lt;=90,"61-90 days","90+ days"))))</f>
        <v>Current</v>
      </c>
    </row>
    <row r="416" customFormat="false" ht="15" hidden="false" customHeight="false" outlineLevel="0" collapsed="false">
      <c r="A416" s="10" t="s">
        <v>863</v>
      </c>
      <c r="B416" s="10" t="s">
        <v>23</v>
      </c>
      <c r="C416" s="10" t="s">
        <v>762</v>
      </c>
      <c r="D416" s="10" t="s">
        <v>864</v>
      </c>
      <c r="E416" s="10" t="n">
        <v>45</v>
      </c>
      <c r="F416" s="10" t="n">
        <v>6555.25</v>
      </c>
      <c r="G416" s="10"/>
      <c r="H416" s="11" t="str">
        <f aca="false">IF(G416="","Open","Paid")</f>
        <v>Open</v>
      </c>
      <c r="I416" s="11" t="str">
        <f aca="false">IF(G416="","",DATEVALUE(G416)-DATEVALUE(C416))</f>
        <v/>
      </c>
      <c r="J416" s="11" t="n">
        <f aca="true">IF(G416="",TODAY()-DATEVALUE(D416),DATEVALUE(G416)-DATEVALUE(D416))</f>
        <v>-32</v>
      </c>
      <c r="K416" s="11" t="str">
        <f aca="false">IF(J416&lt;=0,"Current",IF(J416&lt;=30,"1-30 days",IF(J416&lt;=60,"31-60 days",IF(J416&lt;=90,"61-90 days","90+ days"))))</f>
        <v>Current</v>
      </c>
    </row>
    <row r="417" customFormat="false" ht="15" hidden="false" customHeight="false" outlineLevel="0" collapsed="false">
      <c r="A417" s="10" t="s">
        <v>865</v>
      </c>
      <c r="B417" s="10" t="s">
        <v>87</v>
      </c>
      <c r="C417" s="10" t="s">
        <v>563</v>
      </c>
      <c r="D417" s="10" t="s">
        <v>811</v>
      </c>
      <c r="E417" s="10" t="n">
        <v>30</v>
      </c>
      <c r="F417" s="10" t="n">
        <v>4138</v>
      </c>
      <c r="G417" s="10" t="s">
        <v>176</v>
      </c>
      <c r="H417" s="11" t="str">
        <f aca="false">IF(G417="","Open","Paid")</f>
        <v>Paid</v>
      </c>
      <c r="I417" s="11" t="n">
        <f aca="false">IF(G417="","",DATEVALUE(G417)-DATEVALUE(C417))</f>
        <v>19</v>
      </c>
      <c r="J417" s="11" t="n">
        <f aca="true">IF(G417="",TODAY()-DATEVALUE(D417),DATEVALUE(G417)-DATEVALUE(D417))</f>
        <v>-11</v>
      </c>
      <c r="K417" s="11" t="str">
        <f aca="false">IF(J417&lt;=0,"Current",IF(J417&lt;=30,"1-30 days",IF(J417&lt;=60,"31-60 days",IF(J417&lt;=90,"61-90 days","90+ days"))))</f>
        <v>Current</v>
      </c>
    </row>
    <row r="418" customFormat="false" ht="15" hidden="false" customHeight="false" outlineLevel="0" collapsed="false">
      <c r="A418" s="10" t="s">
        <v>866</v>
      </c>
      <c r="B418" s="10" t="s">
        <v>156</v>
      </c>
      <c r="C418" s="10" t="s">
        <v>94</v>
      </c>
      <c r="D418" s="10" t="s">
        <v>477</v>
      </c>
      <c r="E418" s="10" t="n">
        <v>45</v>
      </c>
      <c r="F418" s="10" t="n">
        <v>6034.82</v>
      </c>
      <c r="G418" s="10" t="s">
        <v>560</v>
      </c>
      <c r="H418" s="11" t="str">
        <f aca="false">IF(G418="","Open","Paid")</f>
        <v>Paid</v>
      </c>
      <c r="I418" s="11" t="n">
        <f aca="false">IF(G418="","",DATEVALUE(G418)-DATEVALUE(C418))</f>
        <v>49</v>
      </c>
      <c r="J418" s="11" t="n">
        <f aca="true">IF(G418="",TODAY()-DATEVALUE(D418),DATEVALUE(G418)-DATEVALUE(D418))</f>
        <v>4</v>
      </c>
      <c r="K418" s="11" t="str">
        <f aca="false">IF(J418&lt;=0,"Current",IF(J418&lt;=30,"1-30 days",IF(J418&lt;=60,"31-60 days",IF(J418&lt;=90,"61-90 days","90+ days"))))</f>
        <v>1-30 days</v>
      </c>
    </row>
    <row r="419" customFormat="false" ht="15" hidden="false" customHeight="false" outlineLevel="0" collapsed="false">
      <c r="A419" s="10" t="s">
        <v>867</v>
      </c>
      <c r="B419" s="10" t="s">
        <v>342</v>
      </c>
      <c r="C419" s="10" t="s">
        <v>35</v>
      </c>
      <c r="D419" s="10" t="s">
        <v>26</v>
      </c>
      <c r="E419" s="10" t="n">
        <v>60</v>
      </c>
      <c r="F419" s="10" t="n">
        <v>7366.29</v>
      </c>
      <c r="G419" s="10" t="s">
        <v>222</v>
      </c>
      <c r="H419" s="11" t="str">
        <f aca="false">IF(G419="","Open","Paid")</f>
        <v>Paid</v>
      </c>
      <c r="I419" s="11" t="n">
        <f aca="false">IF(G419="","",DATEVALUE(G419)-DATEVALUE(C419))</f>
        <v>64</v>
      </c>
      <c r="J419" s="11" t="n">
        <f aca="true">IF(G419="",TODAY()-DATEVALUE(D419),DATEVALUE(G419)-DATEVALUE(D419))</f>
        <v>4</v>
      </c>
      <c r="K419" s="11" t="str">
        <f aca="false">IF(J419&lt;=0,"Current",IF(J419&lt;=30,"1-30 days",IF(J419&lt;=60,"31-60 days",IF(J419&lt;=90,"61-90 days","90+ days"))))</f>
        <v>1-30 days</v>
      </c>
    </row>
    <row r="420" customFormat="false" ht="15" hidden="false" customHeight="false" outlineLevel="0" collapsed="false">
      <c r="A420" s="10" t="s">
        <v>868</v>
      </c>
      <c r="B420" s="10" t="s">
        <v>139</v>
      </c>
      <c r="C420" s="10" t="s">
        <v>219</v>
      </c>
      <c r="D420" s="10" t="s">
        <v>230</v>
      </c>
      <c r="E420" s="10" t="n">
        <v>30</v>
      </c>
      <c r="F420" s="10" t="n">
        <v>15789.91</v>
      </c>
      <c r="G420" s="10" t="s">
        <v>95</v>
      </c>
      <c r="H420" s="11" t="str">
        <f aca="false">IF(G420="","Open","Paid")</f>
        <v>Paid</v>
      </c>
      <c r="I420" s="11" t="n">
        <f aca="false">IF(G420="","",DATEVALUE(G420)-DATEVALUE(C420))</f>
        <v>16</v>
      </c>
      <c r="J420" s="11" t="n">
        <f aca="true">IF(G420="",TODAY()-DATEVALUE(D420),DATEVALUE(G420)-DATEVALUE(D420))</f>
        <v>-14</v>
      </c>
      <c r="K420" s="11" t="str">
        <f aca="false">IF(J420&lt;=0,"Current",IF(J420&lt;=30,"1-30 days",IF(J420&lt;=60,"31-60 days",IF(J420&lt;=90,"61-90 days","90+ days"))))</f>
        <v>Current</v>
      </c>
    </row>
    <row r="421" customFormat="false" ht="15" hidden="false" customHeight="false" outlineLevel="0" collapsed="false">
      <c r="A421" s="10" t="s">
        <v>869</v>
      </c>
      <c r="B421" s="10" t="s">
        <v>487</v>
      </c>
      <c r="C421" s="10" t="s">
        <v>829</v>
      </c>
      <c r="D421" s="10" t="s">
        <v>107</v>
      </c>
      <c r="E421" s="10" t="n">
        <v>30</v>
      </c>
      <c r="F421" s="10" t="n">
        <v>4504.52</v>
      </c>
      <c r="G421" s="10" t="s">
        <v>480</v>
      </c>
      <c r="H421" s="11" t="str">
        <f aca="false">IF(G421="","Open","Paid")</f>
        <v>Paid</v>
      </c>
      <c r="I421" s="11" t="n">
        <f aca="false">IF(G421="","",DATEVALUE(G421)-DATEVALUE(C421))</f>
        <v>31</v>
      </c>
      <c r="J421" s="11" t="n">
        <f aca="true">IF(G421="",TODAY()-DATEVALUE(D421),DATEVALUE(G421)-DATEVALUE(D421))</f>
        <v>1</v>
      </c>
      <c r="K421" s="11" t="str">
        <f aca="false">IF(J421&lt;=0,"Current",IF(J421&lt;=30,"1-30 days",IF(J421&lt;=60,"31-60 days",IF(J421&lt;=90,"61-90 days","90+ days"))))</f>
        <v>1-30 days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870</v>
      </c>
    </row>
    <row r="3" customFormat="false" ht="15" hidden="false" customHeight="false" outlineLevel="0" collapsed="false">
      <c r="A3" s="3" t="s">
        <v>871</v>
      </c>
      <c r="B3" s="3" t="s">
        <v>872</v>
      </c>
      <c r="C3" s="3" t="s">
        <v>873</v>
      </c>
    </row>
    <row r="4" customFormat="false" ht="15" hidden="false" customHeight="false" outlineLevel="0" collapsed="false">
      <c r="A4" s="4" t="s">
        <v>874</v>
      </c>
      <c r="B4" s="12" t="n">
        <f aca="false">SUMIFS('Invoice Ledger'!F2:F421,'Invoice Ledger'!H2:H421,"Open",'Invoice Ledger'!K2:K421,A4)</f>
        <v>153071.84</v>
      </c>
      <c r="C4" s="13" t="n">
        <f aca="false">B4/SUM($B$4:$B$8)</f>
        <v>0.629247673914267</v>
      </c>
    </row>
    <row r="5" customFormat="false" ht="15" hidden="false" customHeight="false" outlineLevel="0" collapsed="false">
      <c r="A5" s="4" t="s">
        <v>875</v>
      </c>
      <c r="B5" s="12" t="n">
        <f aca="false">SUMIFS('Invoice Ledger'!F2:F421,'Invoice Ledger'!H2:H421,"Open",'Invoice Ledger'!K2:K421,A5)</f>
        <v>57180.51</v>
      </c>
      <c r="C5" s="13" t="n">
        <f aca="false">B5/SUM($B$4:$B$8)</f>
        <v>0.235057623340331</v>
      </c>
    </row>
    <row r="6" customFormat="false" ht="15" hidden="false" customHeight="false" outlineLevel="0" collapsed="false">
      <c r="A6" s="4" t="s">
        <v>876</v>
      </c>
      <c r="B6" s="12" t="n">
        <f aca="false">SUMIFS('Invoice Ledger'!F2:F421,'Invoice Ledger'!H2:H421,"Open",'Invoice Ledger'!K2:K421,A6)</f>
        <v>17142.76</v>
      </c>
      <c r="C6" s="13" t="n">
        <f aca="false">B6/SUM($B$4:$B$8)</f>
        <v>0.07047045266112</v>
      </c>
    </row>
    <row r="7" customFormat="false" ht="15" hidden="false" customHeight="false" outlineLevel="0" collapsed="false">
      <c r="A7" s="4" t="s">
        <v>877</v>
      </c>
      <c r="B7" s="12" t="n">
        <f aca="false">SUMIFS('Invoice Ledger'!F2:F421,'Invoice Ledger'!H2:H421,"Open",'Invoice Ledger'!K2:K421,A7)</f>
        <v>15866.56</v>
      </c>
      <c r="C7" s="13" t="n">
        <f aca="false">B7/SUM($B$4:$B$8)</f>
        <v>0.0652242500842817</v>
      </c>
    </row>
    <row r="8" customFormat="false" ht="15" hidden="false" customHeight="false" outlineLevel="0" collapsed="false">
      <c r="A8" s="4" t="s">
        <v>878</v>
      </c>
      <c r="B8" s="12" t="n">
        <f aca="false">SUMIFS('Invoice Ledger'!F2:F421,'Invoice Ledger'!H2:H421,"Open",'Invoice Ledger'!K2:K421,A8)</f>
        <v>0</v>
      </c>
      <c r="C8" s="13" t="n">
        <f aca="false">B8/SUM($B$4:$B$8)</f>
        <v>0</v>
      </c>
    </row>
    <row r="9" customFormat="false" ht="15" hidden="false" customHeight="false" outlineLevel="0" collapsed="false">
      <c r="A9" s="14" t="s">
        <v>879</v>
      </c>
      <c r="B9" s="15" t="n">
        <f aca="false">SUM(B4:B8)</f>
        <v>243261.67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2026-07-03T07:21:17Z</dcterms:created>
  <dc:creator>openpyxl</dc:creator>
  <dc:description/>
  <dc:language>en-US</dc:language>
  <cp:lastModifiedBy/>
  <dcterms:modified xsi:type="dcterms:W3CDTF">2026-07-03T07:21:28Z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